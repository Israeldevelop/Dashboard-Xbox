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622" documentId="13_ncr:1_{3C2F8ED6-40B2-4E08-832A-7140AC03FA60}" xr6:coauthVersionLast="47" xr6:coauthVersionMax="47" xr10:uidLastSave="{87BCA411-F043-4311-A9DC-7CA7FDE35935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448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4" l="1"/>
  <c r="G13" i="4"/>
</calcChain>
</file>

<file path=xl/sharedStrings.xml><?xml version="1.0" encoding="utf-8"?>
<sst xmlns="http://schemas.openxmlformats.org/spreadsheetml/2006/main" count="2024" uniqueCount="325">
  <si>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</si>
  <si>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</si>
  <si>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</si>
  <si>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</si>
  <si>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</si>
  <si>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</si>
  <si>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</si>
  <si>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</si>
  <si>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</si>
  <si>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</si>
  <si>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</si>
  <si>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</si>
  <si>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</si>
  <si>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</si>
  <si>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</si>
  <si>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</si>
  <si>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</si>
  <si>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</si>
  <si>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</si>
  <si>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</si>
  <si>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</si>
  <si>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</si>
  <si>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</si>
  <si>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</si>
  <si>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</si>
  <si>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</si>
  <si>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</si>
  <si>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</si>
  <si>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</si>
  <si>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</si>
  <si>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</si>
  <si>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</si>
  <si>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</si>
  <si>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</si>
  <si>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</si>
  <si>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</si>
  <si>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</si>
  <si>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</si>
  <si>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</si>
  <si>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</si>
  <si>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</si>
  <si>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</si>
  <si>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</si>
  <si>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</si>
  <si>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</si>
  <si>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</si>
  <si>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</si>
  <si>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</si>
  <si>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</si>
  <si>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</si>
  <si>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</si>
  <si>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</si>
  <si>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</si>
  <si>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</si>
  <si>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</si>
  <si>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</si>
  <si>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</si>
  <si>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</si>
  <si>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</si>
  <si>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</si>
  <si>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</si>
  <si>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</si>
  <si>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</si>
  <si>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</si>
  <si>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</si>
  <si>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</si>
  <si>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</si>
  <si>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</si>
  <si>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</si>
  <si>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</si>
  <si>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</si>
  <si>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</si>
  <si>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</si>
  <si>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</si>
  <si>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</si>
  <si>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</si>
  <si>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</si>
  <si>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</si>
  <si>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</si>
  <si>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</si>
  <si>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</si>
  <si>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</si>
  <si>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</si>
  <si>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</si>
  <si>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</si>
  <si>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</si>
  <si>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</si>
  <si>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</si>
  <si>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</si>
  <si>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</si>
  <si>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</si>
  <si>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</si>
  <si>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</si>
  <si>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</si>
  <si>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</si>
  <si>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</si>
  <si>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</si>
  <si>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</si>
  <si>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</si>
  <si>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</si>
  <si>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</si>
  <si>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</si>
  <si>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</si>
  <si>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</si>
  <si>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</si>
  <si>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</si>
  <si>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</si>
  <si>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</si>
  <si>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</si>
  <si>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</si>
  <si>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</si>
  <si>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</si>
  <si>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</si>
  <si>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</si>
  <si>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</si>
  <si>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</si>
  <si>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</si>
  <si>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</si>
  <si>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</si>
  <si>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</si>
  <si>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</si>
  <si>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</si>
  <si>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</si>
  <si>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</si>
  <si>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</si>
  <si>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</si>
  <si>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</si>
  <si>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</si>
  <si>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</si>
  <si>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</si>
  <si>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</si>
  <si>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</si>
  <si>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</si>
  <si>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</si>
  <si>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</si>
  <si>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</si>
  <si>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</si>
  <si>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</si>
  <si>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</si>
  <si>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</si>
  <si>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</si>
  <si>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</si>
  <si>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</si>
  <si>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</si>
  <si>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</si>
  <si>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</si>
  <si>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</si>
  <si>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</si>
  <si>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</si>
  <si>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</si>
  <si>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</si>
  <si>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</si>
  <si>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</si>
  <si>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</si>
  <si>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</si>
  <si>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</si>
  <si>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</si>
  <si>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</si>
  <si>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</si>
  <si>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</si>
  <si>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</si>
  <si>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</si>
  <si>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</si>
  <si>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</si>
  <si>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</si>
  <si>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</si>
  <si>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</si>
  <si>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</si>
  <si>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</si>
  <si>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</si>
  <si>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</si>
  <si>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</si>
  <si>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</si>
  <si>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</si>
  <si>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</si>
  <si>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</si>
  <si>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</si>
  <si>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</si>
  <si>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</si>
  <si>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</si>
  <si>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</si>
  <si>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</si>
  <si>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</si>
  <si>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</si>
  <si>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</si>
  <si>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</si>
  <si>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</si>
  <si>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</si>
  <si>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</si>
  <si>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</si>
  <si>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</si>
  <si>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</si>
  <si>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</si>
  <si>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</si>
  <si>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</si>
  <si>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</si>
  <si>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</si>
  <si>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</si>
  <si>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</si>
  <si>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</si>
  <si>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</si>
  <si>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</si>
  <si>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</si>
  <si>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</si>
  <si>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</si>
  <si>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</si>
  <si>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</si>
  <si>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</si>
  <si>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</si>
  <si>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</si>
  <si>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</si>
  <si>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</si>
  <si>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</si>
  <si>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</si>
  <si>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</si>
  <si>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</si>
  <si>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</si>
  <si>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</si>
  <si>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</si>
  <si>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</si>
  <si>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</si>
  <si>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</si>
  <si>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</si>
  <si>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</si>
  <si>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</si>
  <si>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</si>
  <si>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</si>
  <si>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</si>
  <si>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</si>
  <si>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</si>
  <si>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</si>
  <si>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</si>
  <si>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</si>
  <si>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</si>
  <si>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</si>
  <si>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</si>
  <si>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</si>
  <si>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</si>
  <si>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</si>
  <si>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</si>
  <si>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</si>
  <si>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</si>
  <si>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</si>
  <si>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</si>
  <si>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</si>
  <si>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</si>
  <si>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</si>
  <si>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</si>
  <si>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</si>
  <si>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</si>
  <si>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</si>
  <si>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</si>
  <si>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</si>
  <si>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</si>
  <si>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</si>
  <si>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</si>
  <si>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</si>
  <si>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</si>
  <si>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</si>
  <si>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</si>
  <si>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</si>
  <si>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</si>
  <si>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</si>
  <si>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</si>
  <si>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</si>
  <si>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</si>
  <si>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</si>
  <si>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</si>
  <si>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</si>
  <si>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</si>
  <si>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</si>
  <si>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</si>
  <si>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</si>
  <si>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</si>
  <si>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</si>
  <si>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</si>
  <si>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</si>
  <si>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</si>
  <si>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</si>
  <si>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</si>
  <si>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</si>
  <si>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</si>
  <si>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</si>
  <si>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</si>
  <si>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</si>
  <si>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</si>
  <si>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</si>
  <si>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</si>
  <si>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</si>
  <si>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</si>
  <si>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</si>
  <si>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</si>
  <si>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</si>
  <si>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</si>
  <si>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</si>
  <si>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</si>
  <si>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</si>
  <si>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</si>
  <si>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</si>
  <si>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</si>
  <si>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</si>
  <si>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</si>
  <si>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</si>
  <si>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</si>
  <si>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</si>
  <si>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</si>
  <si>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</si>
  <si>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</si>
  <si>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</si>
  <si>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</si>
  <si>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</si>
  <si>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</si>
  <si>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</si>
  <si>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atraves de alguma análise de dado especifica</t>
  </si>
  <si>
    <r>
      <rPr>
        <sz val="11"/>
        <color rgb="FF000000"/>
        <rFont val="Aptos Narrow"/>
        <scheme val="minor"/>
      </rPr>
      <t xml:space="preserve">Pergunta de Negócio 1 - Qual faturamento </t>
    </r>
    <r>
      <rPr>
        <b/>
        <sz val="11"/>
        <color rgb="FF000000"/>
        <rFont val="Aptos Narrow"/>
        <scheme val="minor"/>
      </rPr>
      <t>Total de vendas</t>
    </r>
    <r>
      <rPr>
        <sz val="11"/>
        <color rgb="FF000000"/>
        <rFont val="Aptos Narrow"/>
        <scheme val="minor"/>
      </rPr>
      <t xml:space="preserve"> de </t>
    </r>
    <r>
      <rPr>
        <b/>
        <sz val="11"/>
        <color rgb="FF000000"/>
        <rFont val="Aptos Narrow"/>
        <scheme val="minor"/>
      </rPr>
      <t>planos anuais</t>
    </r>
    <r>
      <rPr>
        <sz val="11"/>
        <color rgb="FF000000"/>
        <rFont val="Aptos Narrow"/>
        <scheme val="minor"/>
      </rPr>
      <t xml:space="preserve"> (contendo todas as assinaturas agregadas)</t>
    </r>
  </si>
  <si>
    <r>
      <rPr>
        <sz val="11"/>
        <color rgb="FF000000"/>
        <rFont val="Aptos Narrow"/>
        <scheme val="minor"/>
      </rPr>
      <t xml:space="preserve">Pergunta de Negócio 2 - Qual faturamento </t>
    </r>
    <r>
      <rPr>
        <b/>
        <sz val="11"/>
        <color rgb="FF000000"/>
        <rFont val="Aptos Narrow"/>
        <scheme val="minor"/>
      </rPr>
      <t xml:space="preserve">Total de vendas </t>
    </r>
    <r>
      <rPr>
        <sz val="11"/>
        <color rgb="FF000000"/>
        <rFont val="Aptos Narrow"/>
        <scheme val="minor"/>
      </rPr>
      <t xml:space="preserve">de </t>
    </r>
    <r>
      <rPr>
        <b/>
        <sz val="11"/>
        <color rgb="FF000000"/>
        <rFont val="Aptos Narrow"/>
        <scheme val="minor"/>
      </rPr>
      <t>planos anuais</t>
    </r>
    <r>
      <rPr>
        <sz val="11"/>
        <color rgb="FF000000"/>
        <rFont val="Aptos Narrow"/>
        <scheme val="minor"/>
      </rPr>
      <t>,  separado por auto renovação não é por auto renovação</t>
    </r>
  </si>
  <si>
    <t>Soma de Total Value</t>
  </si>
  <si>
    <t>Total Geral</t>
  </si>
  <si>
    <t>Pergunta  Negócio 3 - Total de vendas de assinaturas do EA Play</t>
  </si>
  <si>
    <t>Soma de EA Play Season PassPrice</t>
  </si>
  <si>
    <t>Pergunta Negócio 4 - Total de Vendas de assinaturas do Minecraft Season Pass</t>
  </si>
  <si>
    <t>Soma de Minecraft Season Pass Price</t>
  </si>
  <si>
    <t>XBOX GAME PASS SUBSCRIPTIONS SALES</t>
  </si>
  <si>
    <t>Periodo apuração:  01/01/2024 - 31/12/2024 | Update date: 24/03/2026</t>
  </si>
  <si>
    <t>&gt; Bem vinda, 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</si>
</sst>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5"/>
      <color rgb="FF22C55E"/>
      <name val="Aptos Narrow"/>
      <scheme val="minor"/>
    </font>
    <font>
      <sz val="11"/>
      <color theme="0"/>
      <name val="Aptos Narrow"/>
      <family val="2"/>
      <scheme val="minor"/>
    </font>
    <font>
      <b/>
      <sz val="24"/>
      <color rgb="FF22C55E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rgb="FFFFFFFF"/>
      <name val="Segoe UI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/>
      <bottom style="thick">
        <color rgb="FF22C55E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9" borderId="0" xfId="0" applyFill="1"/>
    <xf numFmtId="0" fontId="7" fillId="9" borderId="0" xfId="0" applyFont="1" applyFill="1"/>
    <xf numFmtId="0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applyAlignment="1">
      <alignment wrapText="1"/>
    </xf>
    <xf numFmtId="0" fontId="9" fillId="0" borderId="0" xfId="0" applyFont="1" applyAlignment="1"/>
    <xf numFmtId="164" fontId="8" fillId="9" borderId="0" xfId="0" applyNumberFormat="1" applyFont="1" applyFill="1" applyAlignment="1">
      <alignment vertical="center"/>
    </xf>
    <xf numFmtId="0" fontId="0" fillId="0" borderId="5" xfId="0" applyBorder="1"/>
    <xf numFmtId="0" fontId="10" fillId="4" borderId="0" xfId="0" applyFont="1" applyFill="1"/>
    <xf numFmtId="0" fontId="4" fillId="0" borderId="0" xfId="0" applyFont="1" applyAlignment="1">
      <alignment horizontal="left"/>
    </xf>
    <xf numFmtId="0" fontId="0" fillId="8" borderId="0" xfId="0" applyFill="1" applyAlignment="1">
      <alignment horizontal="center"/>
    </xf>
    <xf numFmtId="164" fontId="8" fillId="9" borderId="0" xfId="0" applyNumberFormat="1" applyFont="1" applyFill="1" applyAlignment="1">
      <alignment horizontal="center" vertical="center"/>
    </xf>
    <xf numFmtId="0" fontId="6" fillId="0" borderId="4" xfId="1" applyFont="1" applyFill="1" applyBorder="1" applyAlignment="1">
      <alignment horizontal="left" vertical="center" wrapText="1"/>
    </xf>
    <xf numFmtId="0" fontId="1" fillId="0" borderId="4" xfId="1" applyFill="1" applyBorder="1" applyAlignment="1">
      <alignment horizontal="left" vertical="center" wrapText="1"/>
    </xf>
    <xf numFmtId="0" fontId="0" fillId="7" borderId="0" xfId="0" applyFill="1" applyAlignment="1">
      <alignment wrapText="1"/>
    </xf>
    <xf numFmtId="0" fontId="0" fillId="7" borderId="0" xfId="0" applyFill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[base_dados_xbox.xlsx]C̳álculos!tbl_anual_total</c:name>
    <c:fmtId val="1"/>
  </c:pivotSource>
  <c:chart>
    <c:autoTitleDeleted val="1"/>
    <c:pivotFmts>
      <c:pivotFmt>
        <c:idx val="0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1A-40F8-939A-CB649B197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27194888"/>
        <c:axId val="1627203592"/>
      </c:barChart>
      <c:catAx>
        <c:axId val="1627194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03592"/>
        <c:crosses val="autoZero"/>
        <c:auto val="1"/>
        <c:lblAlgn val="ctr"/>
        <c:lblOffset val="100"/>
        <c:noMultiLvlLbl val="0"/>
      </c:catAx>
      <c:valAx>
        <c:axId val="16272035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27194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[base_dados_xbox.xlsx]C̳álculos!tbl_anual_total</c:name>
    <c:fmtId val="9"/>
  </c:pivotSource>
  <c:chart>
    <c:autoTitleDeleted val="1"/>
    <c:pivotFmts>
      <c:pivotFmt>
        <c:idx val="0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22C55E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solidFill>
              <a:srgbClr val="22C55E"/>
            </a:solidFill>
            <a:ln w="25400"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spPr>
              <a:solidFill>
                <a:srgbClr val="22C55E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49-49C6-B1D1-744540D3A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27194888"/>
        <c:axId val="1627203592"/>
      </c:barChart>
      <c:catAx>
        <c:axId val="1627194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203592"/>
        <c:crosses val="autoZero"/>
        <c:auto val="1"/>
        <c:lblAlgn val="ctr"/>
        <c:lblOffset val="100"/>
        <c:noMultiLvlLbl val="0"/>
      </c:catAx>
      <c:valAx>
        <c:axId val="162720359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27194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0</xdr:col>
      <xdr:colOff>561975</xdr:colOff>
      <xdr:row>28</xdr:row>
      <xdr:rowOff>180974</xdr:rowOff>
    </xdr:from>
    <xdr:to>
      <xdr:col>3</xdr:col>
      <xdr:colOff>282651</xdr:colOff>
      <xdr:row>32</xdr:row>
      <xdr:rowOff>171450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561975" y="566737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180975</xdr:colOff>
      <xdr:row>7</xdr:row>
      <xdr:rowOff>142875</xdr:rowOff>
    </xdr:from>
    <xdr:to>
      <xdr:col>10</xdr:col>
      <xdr:colOff>552450</xdr:colOff>
      <xdr:row>23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3F5C1C-7F2A-E11A-25F9-5EFFBF5EDA41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476250</xdr:colOff>
      <xdr:row>7</xdr:row>
      <xdr:rowOff>152400</xdr:rowOff>
    </xdr:from>
    <xdr:to>
      <xdr:col>5</xdr:col>
      <xdr:colOff>514350</xdr:colOff>
      <xdr:row>21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BF5EF8F-3992-7804-C574-5A43070622B0}"/>
                </a:ext>
                <a:ext uri="{147F2762-F138-4A5C-976F-8EAC2B608ADB}">
                  <a16:predDERef xmlns:a16="http://schemas.microsoft.com/office/drawing/2014/main" pred="{903F5C1C-7F2A-E11A-25F9-5EFFBF5EDA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2800" y="1476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0</xdr:rowOff>
    </xdr:from>
    <xdr:to>
      <xdr:col>0</xdr:col>
      <xdr:colOff>1552575</xdr:colOff>
      <xdr:row>4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C7ED5F2-9AB3-4CAD-BF6D-9830779AF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r="71947"/>
        <a:stretch>
          <a:fillRect/>
        </a:stretch>
      </xdr:blipFill>
      <xdr:spPr>
        <a:xfrm>
          <a:off x="933450" y="0"/>
          <a:ext cx="619125" cy="10191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28575</xdr:rowOff>
    </xdr:from>
    <xdr:to>
      <xdr:col>19</xdr:col>
      <xdr:colOff>9525</xdr:colOff>
      <xdr:row>38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856A77-EA45-4030-B4E4-D4576E6B06F5}"/>
            </a:ext>
            <a:ext uri="{147F2762-F138-4A5C-976F-8EAC2B608ADB}">
              <a16:predDERef xmlns:a16="http://schemas.microsoft.com/office/drawing/2014/main" pred="{BC7ED5F2-9AB3-4CAD-BF6D-9830779AF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</xdr:row>
      <xdr:rowOff>47625</xdr:rowOff>
    </xdr:from>
    <xdr:to>
      <xdr:col>0</xdr:col>
      <xdr:colOff>1809750</xdr:colOff>
      <xdr:row>22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9DE17917-8A00-916E-8066-BDD455ED80BD}"/>
                </a:ext>
                <a:ext uri="{147F2762-F138-4A5C-976F-8EAC2B608ADB}">
                  <a16:predDERef xmlns:a16="http://schemas.microsoft.com/office/drawing/2014/main" pred="{7D856A77-EA45-4030-B4E4-D4576E6B06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43050"/>
              <a:ext cx="180975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257175</xdr:colOff>
      <xdr:row>10</xdr:row>
      <xdr:rowOff>47625</xdr:rowOff>
    </xdr:from>
    <xdr:to>
      <xdr:col>5</xdr:col>
      <xdr:colOff>295275</xdr:colOff>
      <xdr:row>16</xdr:row>
      <xdr:rowOff>123825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E68750D-9303-448C-A71A-B0F26C38AC43}"/>
            </a:ext>
            <a:ext uri="{147F2762-F138-4A5C-976F-8EAC2B608ADB}">
              <a16:predDERef xmlns:a16="http://schemas.microsoft.com/office/drawing/2014/main" pred="{9DE17917-8A00-916E-8066-BDD455ED8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0350" y="1924050"/>
          <a:ext cx="1162050" cy="1219200"/>
        </a:xfrm>
        <a:prstGeom prst="rect">
          <a:avLst/>
        </a:prstGeom>
      </xdr:spPr>
    </xdr:pic>
    <xdr:clientData/>
  </xdr:twoCellAnchor>
  <xdr:twoCellAnchor>
    <xdr:from>
      <xdr:col>1</xdr:col>
      <xdr:colOff>219075</xdr:colOff>
      <xdr:row>6</xdr:row>
      <xdr:rowOff>76200</xdr:rowOff>
    </xdr:from>
    <xdr:to>
      <xdr:col>9</xdr:col>
      <xdr:colOff>600075</xdr:colOff>
      <xdr:row>9</xdr:row>
      <xdr:rowOff>38100</xdr:rowOff>
    </xdr:to>
    <xdr:sp macro="" textlink="">
      <xdr:nvSpPr>
        <xdr:cNvPr id="10" name="Retângulo com Canto Redondo do Mesmo Lado 9">
          <a:extLst>
            <a:ext uri="{FF2B5EF4-FFF2-40B4-BE49-F238E27FC236}">
              <a16:creationId xmlns:a16="http://schemas.microsoft.com/office/drawing/2014/main" id="{B3272836-560D-1D7D-3D51-2A1722FC6621}"/>
            </a:ext>
            <a:ext uri="{147F2762-F138-4A5C-976F-8EAC2B608ADB}">
              <a16:predDERef xmlns:a16="http://schemas.microsoft.com/office/drawing/2014/main" pred="{0E68750D-9303-448C-A71A-B0F26C38AC43}"/>
            </a:ext>
          </a:extLst>
        </xdr:cNvPr>
        <xdr:cNvSpPr/>
      </xdr:nvSpPr>
      <xdr:spPr>
        <a:xfrm>
          <a:off x="2038350" y="1247775"/>
          <a:ext cx="5057775" cy="4762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0</xdr:col>
      <xdr:colOff>314325</xdr:colOff>
      <xdr:row>0</xdr:row>
      <xdr:rowOff>-1219200</xdr:rowOff>
    </xdr:from>
    <xdr:to>
      <xdr:col>0</xdr:col>
      <xdr:colOff>352425</xdr:colOff>
      <xdr:row>0</xdr:row>
      <xdr:rowOff>-1219200</xdr:rowOff>
    </xdr:to>
    <xdr:sp macro="" textlink="">
      <xdr:nvSpPr>
        <xdr:cNvPr id="6" name="Retângulo com Canto Redondo do Mesmo Lado 5">
          <a:extLst>
            <a:ext uri="{FF2B5EF4-FFF2-40B4-BE49-F238E27FC236}">
              <a16:creationId xmlns:a16="http://schemas.microsoft.com/office/drawing/2014/main" id="{9FDD8E45-E651-4A14-8569-DABC8C82600E}"/>
            </a:ext>
            <a:ext uri="{147F2762-F138-4A5C-976F-8EAC2B608ADB}">
              <a16:predDERef xmlns:a16="http://schemas.microsoft.com/office/drawing/2014/main" pred="{B3272836-560D-1D7D-3D51-2A1722FC6621}"/>
            </a:ext>
          </a:extLst>
        </xdr:cNvPr>
        <xdr:cNvSpPr/>
      </xdr:nvSpPr>
      <xdr:spPr>
        <a:xfrm>
          <a:off x="314325" y="-1219200"/>
          <a:ext cx="38100" cy="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EA PLAY SEASON PASS</a:t>
          </a:r>
        </a:p>
      </xdr:txBody>
    </xdr:sp>
    <xdr:clientData/>
  </xdr:twoCellAnchor>
  <xdr:twoCellAnchor>
    <xdr:from>
      <xdr:col>10</xdr:col>
      <xdr:colOff>571500</xdr:colOff>
      <xdr:row>6</xdr:row>
      <xdr:rowOff>104775</xdr:rowOff>
    </xdr:from>
    <xdr:to>
      <xdr:col>19</xdr:col>
      <xdr:colOff>9525</xdr:colOff>
      <xdr:row>9</xdr:row>
      <xdr:rowOff>66675</xdr:rowOff>
    </xdr:to>
    <xdr:sp macro="" textlink="">
      <xdr:nvSpPr>
        <xdr:cNvPr id="7" name="Retângulo com Canto Redondo do Mesmo Lado 6">
          <a:extLst>
            <a:ext uri="{FF2B5EF4-FFF2-40B4-BE49-F238E27FC236}">
              <a16:creationId xmlns:a16="http://schemas.microsoft.com/office/drawing/2014/main" id="{97181026-8CB9-4F61-B813-FED154648A12}"/>
            </a:ext>
            <a:ext uri="{147F2762-F138-4A5C-976F-8EAC2B608ADB}">
              <a16:predDERef xmlns:a16="http://schemas.microsoft.com/office/drawing/2014/main" pred="{9FDD8E45-E651-4A14-8569-DABC8C82600E}"/>
            </a:ext>
          </a:extLst>
        </xdr:cNvPr>
        <xdr:cNvSpPr/>
      </xdr:nvSpPr>
      <xdr:spPr>
        <a:xfrm>
          <a:off x="7677150" y="1276350"/>
          <a:ext cx="4752975" cy="4762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MINECRAFT SEASON PASS</a:t>
          </a:r>
        </a:p>
      </xdr:txBody>
    </xdr:sp>
    <xdr:clientData/>
  </xdr:twoCellAnchor>
  <xdr:twoCellAnchor editAs="oneCell">
    <xdr:from>
      <xdr:col>11</xdr:col>
      <xdr:colOff>409575</xdr:colOff>
      <xdr:row>11</xdr:row>
      <xdr:rowOff>66675</xdr:rowOff>
    </xdr:from>
    <xdr:to>
      <xdr:col>13</xdr:col>
      <xdr:colOff>495300</xdr:colOff>
      <xdr:row>15</xdr:row>
      <xdr:rowOff>104775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88E6FC9-474D-C0DC-88FD-7BE36B3E5A5D}"/>
            </a:ext>
            <a:ext uri="{147F2762-F138-4A5C-976F-8EAC2B608ADB}">
              <a16:predDERef xmlns:a16="http://schemas.microsoft.com/office/drawing/2014/main" pred="{97181026-8CB9-4F61-B813-FED154648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24825" y="2133600"/>
          <a:ext cx="1133475" cy="800100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21</xdr:row>
      <xdr:rowOff>142875</xdr:rowOff>
    </xdr:from>
    <xdr:to>
      <xdr:col>19</xdr:col>
      <xdr:colOff>9525</xdr:colOff>
      <xdr:row>24</xdr:row>
      <xdr:rowOff>47625</xdr:rowOff>
    </xdr:to>
    <xdr:sp macro="" textlink="">
      <xdr:nvSpPr>
        <xdr:cNvPr id="11" name="Retângulo com Canto Redondo do Mesmo Lado 10">
          <a:extLst>
            <a:ext uri="{FF2B5EF4-FFF2-40B4-BE49-F238E27FC236}">
              <a16:creationId xmlns:a16="http://schemas.microsoft.com/office/drawing/2014/main" id="{4D185D9D-E34F-451B-83FE-1F0CF0B140EC}"/>
            </a:ext>
            <a:ext uri="{147F2762-F138-4A5C-976F-8EAC2B608ADB}">
              <a16:predDERef xmlns:a16="http://schemas.microsoft.com/office/drawing/2014/main" pred="{A88E6FC9-474D-C0DC-88FD-7BE36B3E5A5D}"/>
            </a:ext>
          </a:extLst>
        </xdr:cNvPr>
        <xdr:cNvSpPr/>
      </xdr:nvSpPr>
      <xdr:spPr>
        <a:xfrm>
          <a:off x="2047875" y="4114800"/>
          <a:ext cx="10382250" cy="4762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SUBSCRIPTIONS XBOX GAME PASS</a:t>
          </a:r>
        </a:p>
      </xdr:txBody>
    </xdr:sp>
    <xdr:clientData/>
  </xdr:twoCellAnchor>
  <xdr:twoCellAnchor>
    <xdr:from>
      <xdr:col>0</xdr:col>
      <xdr:colOff>133350</xdr:colOff>
      <xdr:row>0</xdr:row>
      <xdr:rowOff>142875</xdr:rowOff>
    </xdr:from>
    <xdr:to>
      <xdr:col>0</xdr:col>
      <xdr:colOff>828675</xdr:colOff>
      <xdr:row>3</xdr:row>
      <xdr:rowOff>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94F5E57-B77A-4746-85D5-4CBC415E5A6B}"/>
            </a:ext>
            <a:ext uri="{147F2762-F138-4A5C-976F-8EAC2B608ADB}">
              <a16:predDERef xmlns:a16="http://schemas.microsoft.com/office/drawing/2014/main" pred="{4D185D9D-E34F-451B-83FE-1F0CF0B140EC}"/>
            </a:ext>
          </a:extLst>
        </xdr:cNvPr>
        <xdr:cNvSpPr/>
      </xdr:nvSpPr>
      <xdr:spPr>
        <a:xfrm>
          <a:off x="133350" y="14287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2.452382986114" createdVersion="8" refreshedVersion="8" minRefreshableVersion="3" recordCount="295" xr:uid="{56BC6A4B-B96B-4B1F-AD7E-2240E2036CD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8433583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x v="0"/>
  </r>
  <r>
    <n v="3232"/>
    <x v="1"/>
    <x v="1"/>
    <d v="2024-01-15T00:00:00"/>
    <x v="1"/>
    <n v="5"/>
    <x v="1"/>
    <s v="No"/>
    <x v="1"/>
    <s v="No"/>
    <n v="0"/>
    <n v="0"/>
    <x v="1"/>
  </r>
  <r>
    <n v="3233"/>
    <x v="2"/>
    <x v="2"/>
    <d v="2024-02-10T00:00:00"/>
    <x v="0"/>
    <n v="10"/>
    <x v="2"/>
    <s v="No"/>
    <x v="1"/>
    <s v="Yes"/>
    <n v="20"/>
    <n v="10"/>
    <x v="2"/>
  </r>
  <r>
    <n v="3234"/>
    <x v="3"/>
    <x v="0"/>
    <d v="2024-02-20T00:00:00"/>
    <x v="1"/>
    <n v="15"/>
    <x v="0"/>
    <s v="Yes"/>
    <x v="0"/>
    <s v="Yes"/>
    <n v="20"/>
    <n v="3"/>
    <x v="3"/>
  </r>
  <r>
    <n v="3235"/>
    <x v="4"/>
    <x v="1"/>
    <d v="2024-03-05T00:00:00"/>
    <x v="0"/>
    <n v="5"/>
    <x v="0"/>
    <s v="No"/>
    <x v="1"/>
    <s v="No"/>
    <n v="0"/>
    <n v="1"/>
    <x v="4"/>
  </r>
  <r>
    <n v="3236"/>
    <x v="5"/>
    <x v="2"/>
    <d v="2024-03-02T00:00:00"/>
    <x v="1"/>
    <n v="10"/>
    <x v="0"/>
    <s v="No"/>
    <x v="1"/>
    <s v="Yes"/>
    <n v="20"/>
    <n v="2"/>
    <x v="5"/>
  </r>
  <r>
    <n v="3237"/>
    <x v="6"/>
    <x v="0"/>
    <d v="2024-03-03T00:00:00"/>
    <x v="0"/>
    <n v="15"/>
    <x v="2"/>
    <s v="Yes"/>
    <x v="0"/>
    <s v="Yes"/>
    <n v="20"/>
    <n v="10"/>
    <x v="6"/>
  </r>
  <r>
    <n v="3238"/>
    <x v="7"/>
    <x v="1"/>
    <d v="2024-03-04T00:00:00"/>
    <x v="0"/>
    <n v="5"/>
    <x v="1"/>
    <s v="No"/>
    <x v="1"/>
    <s v="No"/>
    <n v="0"/>
    <n v="0"/>
    <x v="1"/>
  </r>
  <r>
    <n v="3239"/>
    <x v="8"/>
    <x v="0"/>
    <d v="2024-03-05T00:00:00"/>
    <x v="1"/>
    <n v="15"/>
    <x v="0"/>
    <s v="Yes"/>
    <x v="0"/>
    <s v="Yes"/>
    <n v="20"/>
    <n v="5"/>
    <x v="0"/>
  </r>
  <r>
    <n v="3240"/>
    <x v="9"/>
    <x v="2"/>
    <d v="2024-03-06T00:00:00"/>
    <x v="0"/>
    <n v="10"/>
    <x v="2"/>
    <s v="No"/>
    <x v="1"/>
    <s v="Yes"/>
    <n v="20"/>
    <n v="15"/>
    <x v="7"/>
  </r>
  <r>
    <n v="3241"/>
    <x v="10"/>
    <x v="1"/>
    <d v="2024-03-07T00:00:00"/>
    <x v="1"/>
    <n v="5"/>
    <x v="0"/>
    <s v="No"/>
    <x v="1"/>
    <s v="No"/>
    <n v="0"/>
    <n v="1"/>
    <x v="4"/>
  </r>
  <r>
    <n v="3242"/>
    <x v="11"/>
    <x v="0"/>
    <d v="2024-03-08T00:00:00"/>
    <x v="0"/>
    <n v="15"/>
    <x v="1"/>
    <s v="Yes"/>
    <x v="0"/>
    <s v="Yes"/>
    <n v="20"/>
    <n v="20"/>
    <x v="8"/>
  </r>
  <r>
    <n v="3243"/>
    <x v="12"/>
    <x v="2"/>
    <d v="2024-03-09T00:00:00"/>
    <x v="1"/>
    <n v="10"/>
    <x v="0"/>
    <s v="No"/>
    <x v="1"/>
    <s v="Yes"/>
    <n v="20"/>
    <n v="10"/>
    <x v="2"/>
  </r>
  <r>
    <n v="3244"/>
    <x v="13"/>
    <x v="1"/>
    <d v="2024-03-10T00:00:00"/>
    <x v="0"/>
    <n v="5"/>
    <x v="2"/>
    <s v="No"/>
    <x v="1"/>
    <s v="No"/>
    <n v="0"/>
    <n v="0"/>
    <x v="1"/>
  </r>
  <r>
    <n v="3245"/>
    <x v="14"/>
    <x v="0"/>
    <d v="2024-03-11T00:00:00"/>
    <x v="1"/>
    <n v="15"/>
    <x v="0"/>
    <s v="Yes"/>
    <x v="0"/>
    <s v="Yes"/>
    <n v="20"/>
    <n v="8"/>
    <x v="9"/>
  </r>
  <r>
    <n v="3246"/>
    <x v="15"/>
    <x v="2"/>
    <d v="2024-03-12T00:00:00"/>
    <x v="0"/>
    <n v="10"/>
    <x v="1"/>
    <s v="No"/>
    <x v="1"/>
    <s v="Yes"/>
    <n v="20"/>
    <n v="12"/>
    <x v="10"/>
  </r>
  <r>
    <n v="3247"/>
    <x v="16"/>
    <x v="1"/>
    <d v="2024-03-13T00:00:00"/>
    <x v="1"/>
    <n v="5"/>
    <x v="0"/>
    <s v="No"/>
    <x v="1"/>
    <s v="No"/>
    <n v="0"/>
    <n v="2"/>
    <x v="11"/>
  </r>
  <r>
    <n v="3248"/>
    <x v="17"/>
    <x v="0"/>
    <d v="2024-03-14T00:00:00"/>
    <x v="0"/>
    <n v="15"/>
    <x v="2"/>
    <s v="Yes"/>
    <x v="0"/>
    <s v="Yes"/>
    <n v="20"/>
    <n v="7"/>
    <x v="12"/>
  </r>
  <r>
    <n v="3249"/>
    <x v="18"/>
    <x v="2"/>
    <d v="2024-03-15T00:00:00"/>
    <x v="1"/>
    <n v="10"/>
    <x v="0"/>
    <s v="No"/>
    <x v="1"/>
    <s v="Yes"/>
    <n v="20"/>
    <n v="5"/>
    <x v="13"/>
  </r>
  <r>
    <n v="3250"/>
    <x v="19"/>
    <x v="1"/>
    <d v="2024-03-16T00:00:00"/>
    <x v="0"/>
    <n v="5"/>
    <x v="1"/>
    <s v="No"/>
    <x v="1"/>
    <s v="No"/>
    <n v="0"/>
    <n v="0"/>
    <x v="1"/>
  </r>
  <r>
    <n v="3251"/>
    <x v="20"/>
    <x v="0"/>
    <d v="2024-03-17T00:00:00"/>
    <x v="1"/>
    <n v="15"/>
    <x v="0"/>
    <s v="Yes"/>
    <x v="0"/>
    <s v="Yes"/>
    <n v="20"/>
    <n v="3"/>
    <x v="3"/>
  </r>
  <r>
    <n v="3252"/>
    <x v="21"/>
    <x v="2"/>
    <d v="2024-03-18T00:00:00"/>
    <x v="0"/>
    <n v="10"/>
    <x v="2"/>
    <s v="No"/>
    <x v="1"/>
    <s v="Yes"/>
    <n v="20"/>
    <n v="15"/>
    <x v="7"/>
  </r>
  <r>
    <n v="3253"/>
    <x v="22"/>
    <x v="1"/>
    <d v="2024-03-19T00:00:00"/>
    <x v="1"/>
    <n v="5"/>
    <x v="0"/>
    <s v="No"/>
    <x v="1"/>
    <s v="No"/>
    <n v="0"/>
    <n v="1"/>
    <x v="4"/>
  </r>
  <r>
    <n v="3254"/>
    <x v="23"/>
    <x v="0"/>
    <d v="2024-03-20T00:00:00"/>
    <x v="0"/>
    <n v="15"/>
    <x v="1"/>
    <s v="Yes"/>
    <x v="0"/>
    <s v="Yes"/>
    <n v="20"/>
    <n v="20"/>
    <x v="8"/>
  </r>
  <r>
    <n v="3255"/>
    <x v="24"/>
    <x v="2"/>
    <d v="2024-03-21T00:00:00"/>
    <x v="1"/>
    <n v="10"/>
    <x v="0"/>
    <s v="No"/>
    <x v="1"/>
    <s v="Yes"/>
    <n v="20"/>
    <n v="10"/>
    <x v="2"/>
  </r>
  <r>
    <n v="3256"/>
    <x v="25"/>
    <x v="1"/>
    <d v="2024-03-22T00:00:00"/>
    <x v="0"/>
    <n v="5"/>
    <x v="2"/>
    <s v="No"/>
    <x v="1"/>
    <s v="No"/>
    <n v="0"/>
    <n v="0"/>
    <x v="1"/>
  </r>
  <r>
    <n v="3257"/>
    <x v="26"/>
    <x v="0"/>
    <d v="2024-03-23T00:00:00"/>
    <x v="1"/>
    <n v="15"/>
    <x v="0"/>
    <s v="Yes"/>
    <x v="0"/>
    <s v="Yes"/>
    <n v="20"/>
    <n v="5"/>
    <x v="0"/>
  </r>
  <r>
    <n v="3258"/>
    <x v="27"/>
    <x v="2"/>
    <d v="2024-03-24T00:00:00"/>
    <x v="0"/>
    <n v="10"/>
    <x v="1"/>
    <s v="No"/>
    <x v="1"/>
    <s v="Yes"/>
    <n v="20"/>
    <n v="15"/>
    <x v="7"/>
  </r>
  <r>
    <n v="3259"/>
    <x v="28"/>
    <x v="1"/>
    <d v="2024-03-25T00:00:00"/>
    <x v="1"/>
    <n v="5"/>
    <x v="0"/>
    <s v="No"/>
    <x v="1"/>
    <s v="No"/>
    <n v="0"/>
    <n v="1"/>
    <x v="4"/>
  </r>
  <r>
    <n v="3260"/>
    <x v="29"/>
    <x v="0"/>
    <d v="2024-03-26T00:00:00"/>
    <x v="0"/>
    <n v="15"/>
    <x v="2"/>
    <s v="Yes"/>
    <x v="0"/>
    <s v="Yes"/>
    <n v="20"/>
    <n v="7"/>
    <x v="12"/>
  </r>
  <r>
    <n v="3261"/>
    <x v="30"/>
    <x v="2"/>
    <d v="2024-03-27T00:00:00"/>
    <x v="1"/>
    <n v="10"/>
    <x v="0"/>
    <s v="No"/>
    <x v="1"/>
    <s v="Yes"/>
    <n v="20"/>
    <n v="10"/>
    <x v="2"/>
  </r>
  <r>
    <n v="3262"/>
    <x v="31"/>
    <x v="1"/>
    <d v="2024-03-28T00:00:00"/>
    <x v="0"/>
    <n v="5"/>
    <x v="1"/>
    <s v="No"/>
    <x v="1"/>
    <s v="No"/>
    <n v="0"/>
    <n v="0"/>
    <x v="1"/>
  </r>
  <r>
    <n v="3263"/>
    <x v="32"/>
    <x v="0"/>
    <d v="2024-03-29T00:00:00"/>
    <x v="1"/>
    <n v="15"/>
    <x v="0"/>
    <s v="Yes"/>
    <x v="0"/>
    <s v="Yes"/>
    <n v="20"/>
    <n v="3"/>
    <x v="3"/>
  </r>
  <r>
    <n v="3264"/>
    <x v="33"/>
    <x v="2"/>
    <d v="2024-03-30T00:00:00"/>
    <x v="0"/>
    <n v="10"/>
    <x v="2"/>
    <s v="No"/>
    <x v="1"/>
    <s v="Yes"/>
    <n v="20"/>
    <n v="15"/>
    <x v="7"/>
  </r>
  <r>
    <n v="3265"/>
    <x v="34"/>
    <x v="1"/>
    <d v="2024-03-31T00:00:00"/>
    <x v="1"/>
    <n v="5"/>
    <x v="0"/>
    <s v="No"/>
    <x v="1"/>
    <s v="No"/>
    <n v="0"/>
    <n v="1"/>
    <x v="4"/>
  </r>
  <r>
    <n v="3266"/>
    <x v="35"/>
    <x v="1"/>
    <d v="2024-04-01T00:00:00"/>
    <x v="0"/>
    <n v="5"/>
    <x v="0"/>
    <s v="No"/>
    <x v="1"/>
    <s v="No"/>
    <n v="0"/>
    <n v="0"/>
    <x v="1"/>
  </r>
  <r>
    <n v="3267"/>
    <x v="36"/>
    <x v="0"/>
    <d v="2024-04-02T00:00:00"/>
    <x v="1"/>
    <n v="15"/>
    <x v="2"/>
    <s v="Yes"/>
    <x v="0"/>
    <s v="Yes"/>
    <n v="20"/>
    <n v="7"/>
    <x v="12"/>
  </r>
  <r>
    <n v="3268"/>
    <x v="37"/>
    <x v="2"/>
    <d v="2024-04-03T00:00:00"/>
    <x v="0"/>
    <n v="10"/>
    <x v="1"/>
    <s v="No"/>
    <x v="1"/>
    <s v="Yes"/>
    <n v="20"/>
    <n v="10"/>
    <x v="2"/>
  </r>
  <r>
    <n v="3269"/>
    <x v="38"/>
    <x v="1"/>
    <d v="2024-04-04T00:00:00"/>
    <x v="1"/>
    <n v="5"/>
    <x v="2"/>
    <s v="No"/>
    <x v="1"/>
    <s v="No"/>
    <n v="0"/>
    <n v="1"/>
    <x v="4"/>
  </r>
  <r>
    <n v="3270"/>
    <x v="39"/>
    <x v="0"/>
    <d v="2024-04-05T00:00:00"/>
    <x v="0"/>
    <n v="15"/>
    <x v="0"/>
    <s v="Yes"/>
    <x v="0"/>
    <s v="Yes"/>
    <n v="20"/>
    <n v="15"/>
    <x v="14"/>
  </r>
  <r>
    <n v="3271"/>
    <x v="40"/>
    <x v="2"/>
    <d v="2024-04-06T00:00:00"/>
    <x v="1"/>
    <n v="10"/>
    <x v="0"/>
    <s v="No"/>
    <x v="1"/>
    <s v="Yes"/>
    <n v="20"/>
    <n v="5"/>
    <x v="13"/>
  </r>
  <r>
    <n v="3272"/>
    <x v="41"/>
    <x v="1"/>
    <d v="2024-04-07T00:00:00"/>
    <x v="0"/>
    <n v="5"/>
    <x v="1"/>
    <s v="No"/>
    <x v="1"/>
    <s v="No"/>
    <n v="0"/>
    <n v="0"/>
    <x v="1"/>
  </r>
  <r>
    <n v="3273"/>
    <x v="42"/>
    <x v="0"/>
    <d v="2024-04-08T00:00:00"/>
    <x v="1"/>
    <n v="15"/>
    <x v="2"/>
    <s v="Yes"/>
    <x v="0"/>
    <s v="Yes"/>
    <n v="20"/>
    <n v="20"/>
    <x v="8"/>
  </r>
  <r>
    <n v="3274"/>
    <x v="43"/>
    <x v="2"/>
    <d v="2024-04-09T00:00:00"/>
    <x v="0"/>
    <n v="10"/>
    <x v="2"/>
    <s v="No"/>
    <x v="1"/>
    <s v="Yes"/>
    <n v="20"/>
    <n v="12"/>
    <x v="10"/>
  </r>
  <r>
    <n v="3275"/>
    <x v="44"/>
    <x v="1"/>
    <d v="2024-04-10T00:00:00"/>
    <x v="1"/>
    <n v="5"/>
    <x v="0"/>
    <s v="No"/>
    <x v="1"/>
    <s v="No"/>
    <n v="0"/>
    <n v="2"/>
    <x v="11"/>
  </r>
  <r>
    <n v="3276"/>
    <x v="45"/>
    <x v="0"/>
    <d v="2024-04-11T00:00:00"/>
    <x v="0"/>
    <n v="15"/>
    <x v="1"/>
    <s v="Yes"/>
    <x v="0"/>
    <s v="Yes"/>
    <n v="20"/>
    <n v="5"/>
    <x v="0"/>
  </r>
  <r>
    <n v="3277"/>
    <x v="46"/>
    <x v="2"/>
    <d v="2024-04-12T00:00:00"/>
    <x v="1"/>
    <n v="10"/>
    <x v="0"/>
    <s v="No"/>
    <x v="1"/>
    <s v="Yes"/>
    <n v="20"/>
    <n v="10"/>
    <x v="2"/>
  </r>
  <r>
    <n v="3278"/>
    <x v="47"/>
    <x v="1"/>
    <d v="2024-04-13T00:00:00"/>
    <x v="0"/>
    <n v="5"/>
    <x v="2"/>
    <s v="No"/>
    <x v="1"/>
    <s v="No"/>
    <n v="0"/>
    <n v="0"/>
    <x v="1"/>
  </r>
  <r>
    <n v="3279"/>
    <x v="48"/>
    <x v="0"/>
    <d v="2024-04-14T00:00:00"/>
    <x v="1"/>
    <n v="15"/>
    <x v="0"/>
    <s v="Yes"/>
    <x v="0"/>
    <s v="Yes"/>
    <n v="20"/>
    <n v="3"/>
    <x v="3"/>
  </r>
  <r>
    <n v="3280"/>
    <x v="49"/>
    <x v="2"/>
    <d v="2024-04-15T00:00:00"/>
    <x v="0"/>
    <n v="10"/>
    <x v="1"/>
    <s v="No"/>
    <x v="1"/>
    <s v="Yes"/>
    <n v="20"/>
    <n v="15"/>
    <x v="7"/>
  </r>
  <r>
    <n v="3281"/>
    <x v="50"/>
    <x v="1"/>
    <d v="2024-04-16T00:00:00"/>
    <x v="1"/>
    <n v="5"/>
    <x v="0"/>
    <s v="No"/>
    <x v="1"/>
    <s v="No"/>
    <n v="0"/>
    <n v="1"/>
    <x v="4"/>
  </r>
  <r>
    <n v="3282"/>
    <x v="51"/>
    <x v="0"/>
    <d v="2024-04-17T00:00:00"/>
    <x v="0"/>
    <n v="15"/>
    <x v="2"/>
    <s v="Yes"/>
    <x v="0"/>
    <s v="Yes"/>
    <n v="20"/>
    <n v="7"/>
    <x v="12"/>
  </r>
  <r>
    <n v="3283"/>
    <x v="52"/>
    <x v="2"/>
    <d v="2024-04-18T00:00:00"/>
    <x v="1"/>
    <n v="10"/>
    <x v="0"/>
    <s v="No"/>
    <x v="1"/>
    <s v="Yes"/>
    <n v="20"/>
    <n v="10"/>
    <x v="2"/>
  </r>
  <r>
    <n v="3284"/>
    <x v="53"/>
    <x v="1"/>
    <d v="2024-04-19T00:00:00"/>
    <x v="0"/>
    <n v="5"/>
    <x v="1"/>
    <s v="No"/>
    <x v="1"/>
    <s v="No"/>
    <n v="0"/>
    <n v="0"/>
    <x v="1"/>
  </r>
  <r>
    <n v="3285"/>
    <x v="54"/>
    <x v="0"/>
    <d v="2024-04-20T00:00:00"/>
    <x v="1"/>
    <n v="15"/>
    <x v="0"/>
    <s v="Yes"/>
    <x v="0"/>
    <s v="Yes"/>
    <n v="20"/>
    <n v="20"/>
    <x v="8"/>
  </r>
  <r>
    <n v="3286"/>
    <x v="55"/>
    <x v="2"/>
    <d v="2024-04-21T00:00:00"/>
    <x v="0"/>
    <n v="10"/>
    <x v="2"/>
    <s v="No"/>
    <x v="1"/>
    <s v="Yes"/>
    <n v="20"/>
    <n v="15"/>
    <x v="7"/>
  </r>
  <r>
    <n v="3287"/>
    <x v="56"/>
    <x v="1"/>
    <d v="2024-04-22T00:00:00"/>
    <x v="1"/>
    <n v="5"/>
    <x v="0"/>
    <s v="No"/>
    <x v="1"/>
    <s v="No"/>
    <n v="0"/>
    <n v="1"/>
    <x v="4"/>
  </r>
  <r>
    <n v="3288"/>
    <x v="57"/>
    <x v="0"/>
    <d v="2024-04-23T00:00:00"/>
    <x v="0"/>
    <n v="15"/>
    <x v="1"/>
    <s v="Yes"/>
    <x v="0"/>
    <s v="Yes"/>
    <n v="20"/>
    <n v="3"/>
    <x v="3"/>
  </r>
  <r>
    <n v="3289"/>
    <x v="58"/>
    <x v="2"/>
    <d v="2024-04-24T00:00:00"/>
    <x v="1"/>
    <n v="10"/>
    <x v="0"/>
    <s v="No"/>
    <x v="1"/>
    <s v="Yes"/>
    <n v="20"/>
    <n v="10"/>
    <x v="2"/>
  </r>
  <r>
    <n v="3290"/>
    <x v="59"/>
    <x v="1"/>
    <d v="2024-04-25T00:00:00"/>
    <x v="0"/>
    <n v="5"/>
    <x v="2"/>
    <s v="No"/>
    <x v="1"/>
    <s v="No"/>
    <n v="0"/>
    <n v="0"/>
    <x v="1"/>
  </r>
  <r>
    <n v="3291"/>
    <x v="60"/>
    <x v="0"/>
    <d v="2024-04-26T00:00:00"/>
    <x v="1"/>
    <n v="15"/>
    <x v="0"/>
    <s v="Yes"/>
    <x v="0"/>
    <s v="Yes"/>
    <n v="20"/>
    <n v="5"/>
    <x v="0"/>
  </r>
  <r>
    <n v="3292"/>
    <x v="61"/>
    <x v="2"/>
    <d v="2024-04-27T00:00:00"/>
    <x v="0"/>
    <n v="10"/>
    <x v="1"/>
    <s v="No"/>
    <x v="1"/>
    <s v="Yes"/>
    <n v="20"/>
    <n v="15"/>
    <x v="7"/>
  </r>
  <r>
    <n v="3293"/>
    <x v="62"/>
    <x v="1"/>
    <d v="2024-04-28T00:00:00"/>
    <x v="1"/>
    <n v="5"/>
    <x v="0"/>
    <s v="No"/>
    <x v="1"/>
    <s v="No"/>
    <n v="0"/>
    <n v="1"/>
    <x v="4"/>
  </r>
  <r>
    <n v="3294"/>
    <x v="63"/>
    <x v="0"/>
    <d v="2024-04-29T00:00:00"/>
    <x v="0"/>
    <n v="15"/>
    <x v="2"/>
    <s v="Yes"/>
    <x v="0"/>
    <s v="Yes"/>
    <n v="20"/>
    <n v="20"/>
    <x v="8"/>
  </r>
  <r>
    <n v="3295"/>
    <x v="64"/>
    <x v="2"/>
    <d v="2024-04-30T00:00:00"/>
    <x v="1"/>
    <n v="10"/>
    <x v="0"/>
    <s v="No"/>
    <x v="1"/>
    <s v="Yes"/>
    <n v="20"/>
    <n v="5"/>
    <x v="13"/>
  </r>
  <r>
    <n v="3296"/>
    <x v="65"/>
    <x v="1"/>
    <d v="2024-05-01T00:00:00"/>
    <x v="1"/>
    <n v="5"/>
    <x v="0"/>
    <s v="No"/>
    <x v="1"/>
    <s v="No"/>
    <n v="0"/>
    <n v="0"/>
    <x v="1"/>
  </r>
  <r>
    <n v="3297"/>
    <x v="66"/>
    <x v="0"/>
    <d v="2024-05-02T00:00:00"/>
    <x v="0"/>
    <n v="15"/>
    <x v="2"/>
    <s v="Yes"/>
    <x v="0"/>
    <s v="Yes"/>
    <n v="20"/>
    <n v="7"/>
    <x v="12"/>
  </r>
  <r>
    <n v="3298"/>
    <x v="67"/>
    <x v="2"/>
    <d v="2024-05-03T00:00:00"/>
    <x v="1"/>
    <n v="10"/>
    <x v="1"/>
    <s v="No"/>
    <x v="1"/>
    <s v="Yes"/>
    <n v="20"/>
    <n v="10"/>
    <x v="2"/>
  </r>
  <r>
    <n v="3299"/>
    <x v="68"/>
    <x v="1"/>
    <d v="2024-05-04T00:00:00"/>
    <x v="0"/>
    <n v="5"/>
    <x v="2"/>
    <s v="No"/>
    <x v="1"/>
    <s v="No"/>
    <n v="0"/>
    <n v="1"/>
    <x v="4"/>
  </r>
  <r>
    <n v="3300"/>
    <x v="69"/>
    <x v="0"/>
    <d v="2024-05-05T00:00:00"/>
    <x v="1"/>
    <n v="15"/>
    <x v="0"/>
    <s v="Yes"/>
    <x v="0"/>
    <s v="Yes"/>
    <n v="20"/>
    <n v="15"/>
    <x v="14"/>
  </r>
  <r>
    <n v="3301"/>
    <x v="70"/>
    <x v="2"/>
    <d v="2024-05-06T00:00:00"/>
    <x v="0"/>
    <n v="10"/>
    <x v="0"/>
    <s v="No"/>
    <x v="1"/>
    <s v="Yes"/>
    <n v="20"/>
    <n v="5"/>
    <x v="13"/>
  </r>
  <r>
    <n v="3302"/>
    <x v="71"/>
    <x v="1"/>
    <d v="2024-05-07T00:00:00"/>
    <x v="1"/>
    <n v="5"/>
    <x v="1"/>
    <s v="No"/>
    <x v="1"/>
    <s v="No"/>
    <n v="0"/>
    <n v="0"/>
    <x v="1"/>
  </r>
  <r>
    <n v="3303"/>
    <x v="72"/>
    <x v="0"/>
    <d v="2024-05-08T00:00:00"/>
    <x v="0"/>
    <n v="15"/>
    <x v="2"/>
    <s v="Yes"/>
    <x v="0"/>
    <s v="Yes"/>
    <n v="20"/>
    <n v="20"/>
    <x v="8"/>
  </r>
  <r>
    <n v="3304"/>
    <x v="73"/>
    <x v="2"/>
    <d v="2024-05-09T00:00:00"/>
    <x v="1"/>
    <n v="10"/>
    <x v="2"/>
    <s v="No"/>
    <x v="1"/>
    <s v="Yes"/>
    <n v="20"/>
    <n v="12"/>
    <x v="10"/>
  </r>
  <r>
    <n v="3305"/>
    <x v="74"/>
    <x v="1"/>
    <d v="2024-05-10T00:00:00"/>
    <x v="0"/>
    <n v="5"/>
    <x v="0"/>
    <s v="No"/>
    <x v="1"/>
    <s v="No"/>
    <n v="0"/>
    <n v="2"/>
    <x v="11"/>
  </r>
  <r>
    <n v="3306"/>
    <x v="75"/>
    <x v="0"/>
    <d v="2024-05-11T00:00:00"/>
    <x v="1"/>
    <n v="15"/>
    <x v="1"/>
    <s v="Yes"/>
    <x v="0"/>
    <s v="Yes"/>
    <n v="20"/>
    <n v="5"/>
    <x v="0"/>
  </r>
  <r>
    <n v="3307"/>
    <x v="76"/>
    <x v="2"/>
    <d v="2024-05-12T00:00:00"/>
    <x v="0"/>
    <n v="10"/>
    <x v="0"/>
    <s v="No"/>
    <x v="1"/>
    <s v="Yes"/>
    <n v="20"/>
    <n v="10"/>
    <x v="2"/>
  </r>
  <r>
    <n v="3308"/>
    <x v="77"/>
    <x v="1"/>
    <d v="2024-05-13T00:00:00"/>
    <x v="1"/>
    <n v="5"/>
    <x v="2"/>
    <s v="No"/>
    <x v="1"/>
    <s v="No"/>
    <n v="0"/>
    <n v="0"/>
    <x v="1"/>
  </r>
  <r>
    <n v="3309"/>
    <x v="78"/>
    <x v="0"/>
    <d v="2024-05-14T00:00:00"/>
    <x v="0"/>
    <n v="15"/>
    <x v="0"/>
    <s v="Yes"/>
    <x v="0"/>
    <s v="Yes"/>
    <n v="20"/>
    <n v="3"/>
    <x v="3"/>
  </r>
  <r>
    <n v="3310"/>
    <x v="79"/>
    <x v="2"/>
    <d v="2024-05-15T00:00:00"/>
    <x v="1"/>
    <n v="10"/>
    <x v="1"/>
    <s v="No"/>
    <x v="1"/>
    <s v="Yes"/>
    <n v="20"/>
    <n v="15"/>
    <x v="7"/>
  </r>
  <r>
    <n v="3311"/>
    <x v="80"/>
    <x v="1"/>
    <d v="2024-05-16T00:00:00"/>
    <x v="0"/>
    <n v="5"/>
    <x v="0"/>
    <s v="No"/>
    <x v="1"/>
    <s v="No"/>
    <n v="0"/>
    <n v="1"/>
    <x v="4"/>
  </r>
  <r>
    <n v="3312"/>
    <x v="81"/>
    <x v="0"/>
    <d v="2024-05-17T00:00:00"/>
    <x v="1"/>
    <n v="15"/>
    <x v="2"/>
    <s v="Yes"/>
    <x v="0"/>
    <s v="Yes"/>
    <n v="20"/>
    <n v="7"/>
    <x v="12"/>
  </r>
  <r>
    <n v="3313"/>
    <x v="82"/>
    <x v="2"/>
    <d v="2024-05-18T00:00:00"/>
    <x v="0"/>
    <n v="10"/>
    <x v="0"/>
    <s v="No"/>
    <x v="1"/>
    <s v="Yes"/>
    <n v="20"/>
    <n v="10"/>
    <x v="2"/>
  </r>
  <r>
    <n v="3314"/>
    <x v="83"/>
    <x v="1"/>
    <d v="2024-05-19T00:00:00"/>
    <x v="1"/>
    <n v="5"/>
    <x v="1"/>
    <s v="No"/>
    <x v="1"/>
    <s v="No"/>
    <n v="0"/>
    <n v="0"/>
    <x v="1"/>
  </r>
  <r>
    <n v="3315"/>
    <x v="84"/>
    <x v="0"/>
    <d v="2024-05-20T00:00:00"/>
    <x v="0"/>
    <n v="15"/>
    <x v="0"/>
    <s v="Yes"/>
    <x v="0"/>
    <s v="Yes"/>
    <n v="20"/>
    <n v="20"/>
    <x v="8"/>
  </r>
  <r>
    <n v="3316"/>
    <x v="85"/>
    <x v="2"/>
    <d v="2024-05-21T00:00:00"/>
    <x v="1"/>
    <n v="10"/>
    <x v="2"/>
    <s v="No"/>
    <x v="1"/>
    <s v="Yes"/>
    <n v="20"/>
    <n v="15"/>
    <x v="7"/>
  </r>
  <r>
    <n v="3317"/>
    <x v="86"/>
    <x v="1"/>
    <d v="2024-05-22T00:00:00"/>
    <x v="0"/>
    <n v="5"/>
    <x v="0"/>
    <s v="No"/>
    <x v="1"/>
    <s v="No"/>
    <n v="0"/>
    <n v="1"/>
    <x v="4"/>
  </r>
  <r>
    <n v="3318"/>
    <x v="87"/>
    <x v="0"/>
    <d v="2024-05-23T00:00:00"/>
    <x v="1"/>
    <n v="15"/>
    <x v="1"/>
    <s v="Yes"/>
    <x v="0"/>
    <s v="Yes"/>
    <n v="20"/>
    <n v="3"/>
    <x v="3"/>
  </r>
  <r>
    <n v="3319"/>
    <x v="88"/>
    <x v="2"/>
    <d v="2024-05-24T00:00:00"/>
    <x v="0"/>
    <n v="10"/>
    <x v="0"/>
    <s v="No"/>
    <x v="1"/>
    <s v="Yes"/>
    <n v="20"/>
    <n v="10"/>
    <x v="2"/>
  </r>
  <r>
    <n v="3320"/>
    <x v="89"/>
    <x v="1"/>
    <d v="2024-05-25T00:00:00"/>
    <x v="1"/>
    <n v="5"/>
    <x v="2"/>
    <s v="No"/>
    <x v="1"/>
    <s v="No"/>
    <n v="0"/>
    <n v="0"/>
    <x v="1"/>
  </r>
  <r>
    <n v="3321"/>
    <x v="90"/>
    <x v="0"/>
    <d v="2024-05-26T00:00:00"/>
    <x v="0"/>
    <n v="15"/>
    <x v="0"/>
    <s v="Yes"/>
    <x v="0"/>
    <s v="Yes"/>
    <n v="20"/>
    <n v="5"/>
    <x v="0"/>
  </r>
  <r>
    <n v="3322"/>
    <x v="91"/>
    <x v="2"/>
    <d v="2024-05-27T00:00:00"/>
    <x v="1"/>
    <n v="10"/>
    <x v="1"/>
    <s v="No"/>
    <x v="1"/>
    <s v="Yes"/>
    <n v="20"/>
    <n v="15"/>
    <x v="7"/>
  </r>
  <r>
    <n v="3323"/>
    <x v="92"/>
    <x v="1"/>
    <d v="2024-05-28T00:00:00"/>
    <x v="0"/>
    <n v="5"/>
    <x v="0"/>
    <s v="No"/>
    <x v="1"/>
    <s v="No"/>
    <n v="0"/>
    <n v="1"/>
    <x v="4"/>
  </r>
  <r>
    <n v="3324"/>
    <x v="93"/>
    <x v="0"/>
    <d v="2024-05-29T00:00:00"/>
    <x v="1"/>
    <n v="15"/>
    <x v="2"/>
    <s v="Yes"/>
    <x v="0"/>
    <s v="Yes"/>
    <n v="20"/>
    <n v="20"/>
    <x v="8"/>
  </r>
  <r>
    <n v="3325"/>
    <x v="94"/>
    <x v="2"/>
    <d v="2024-05-30T00:00:00"/>
    <x v="0"/>
    <n v="10"/>
    <x v="2"/>
    <s v="No"/>
    <x v="1"/>
    <s v="Yes"/>
    <n v="20"/>
    <n v="15"/>
    <x v="7"/>
  </r>
  <r>
    <n v="3326"/>
    <x v="95"/>
    <x v="1"/>
    <d v="2024-05-31T00:00:00"/>
    <x v="1"/>
    <n v="5"/>
    <x v="1"/>
    <s v="No"/>
    <x v="1"/>
    <s v="No"/>
    <n v="0"/>
    <n v="0"/>
    <x v="1"/>
  </r>
  <r>
    <n v="3327"/>
    <x v="96"/>
    <x v="0"/>
    <d v="2024-06-01T00:00:00"/>
    <x v="0"/>
    <n v="15"/>
    <x v="0"/>
    <s v="Yes"/>
    <x v="0"/>
    <s v="Yes"/>
    <n v="20"/>
    <n v="7"/>
    <x v="12"/>
  </r>
  <r>
    <n v="3328"/>
    <x v="97"/>
    <x v="2"/>
    <d v="2024-06-02T00:00:00"/>
    <x v="1"/>
    <n v="10"/>
    <x v="1"/>
    <s v="No"/>
    <x v="1"/>
    <s v="Yes"/>
    <n v="20"/>
    <n v="10"/>
    <x v="2"/>
  </r>
  <r>
    <n v="3329"/>
    <x v="98"/>
    <x v="1"/>
    <d v="2024-06-03T00:00:00"/>
    <x v="0"/>
    <n v="5"/>
    <x v="2"/>
    <s v="No"/>
    <x v="1"/>
    <s v="No"/>
    <n v="0"/>
    <n v="1"/>
    <x v="4"/>
  </r>
  <r>
    <n v="3330"/>
    <x v="99"/>
    <x v="0"/>
    <d v="2024-06-04T00:00:00"/>
    <x v="1"/>
    <n v="15"/>
    <x v="0"/>
    <s v="Yes"/>
    <x v="0"/>
    <s v="Yes"/>
    <n v="20"/>
    <n v="15"/>
    <x v="14"/>
  </r>
  <r>
    <n v="3331"/>
    <x v="100"/>
    <x v="2"/>
    <d v="2024-06-05T00:00:00"/>
    <x v="0"/>
    <n v="10"/>
    <x v="0"/>
    <s v="No"/>
    <x v="1"/>
    <s v="Yes"/>
    <n v="20"/>
    <n v="5"/>
    <x v="13"/>
  </r>
  <r>
    <n v="3332"/>
    <x v="101"/>
    <x v="1"/>
    <d v="2024-06-06T00:00:00"/>
    <x v="1"/>
    <n v="5"/>
    <x v="1"/>
    <s v="No"/>
    <x v="1"/>
    <s v="No"/>
    <n v="0"/>
    <n v="0"/>
    <x v="1"/>
  </r>
  <r>
    <n v="3333"/>
    <x v="102"/>
    <x v="0"/>
    <d v="2024-06-07T00:00:00"/>
    <x v="0"/>
    <n v="15"/>
    <x v="2"/>
    <s v="Yes"/>
    <x v="0"/>
    <s v="Yes"/>
    <n v="20"/>
    <n v="20"/>
    <x v="8"/>
  </r>
  <r>
    <n v="3334"/>
    <x v="103"/>
    <x v="2"/>
    <d v="2024-06-08T00:00:00"/>
    <x v="1"/>
    <n v="10"/>
    <x v="2"/>
    <s v="No"/>
    <x v="1"/>
    <s v="Yes"/>
    <n v="20"/>
    <n v="12"/>
    <x v="10"/>
  </r>
  <r>
    <n v="3335"/>
    <x v="104"/>
    <x v="1"/>
    <d v="2024-06-09T00:00:00"/>
    <x v="0"/>
    <n v="5"/>
    <x v="0"/>
    <s v="No"/>
    <x v="1"/>
    <s v="No"/>
    <n v="0"/>
    <n v="2"/>
    <x v="11"/>
  </r>
  <r>
    <n v="3336"/>
    <x v="105"/>
    <x v="1"/>
    <d v="2024-06-10T00:00:00"/>
    <x v="0"/>
    <n v="5"/>
    <x v="0"/>
    <s v="No"/>
    <x v="1"/>
    <s v="No"/>
    <n v="0"/>
    <n v="0"/>
    <x v="1"/>
  </r>
  <r>
    <n v="3337"/>
    <x v="106"/>
    <x v="0"/>
    <d v="2024-06-11T00:00:00"/>
    <x v="1"/>
    <n v="15"/>
    <x v="2"/>
    <s v="Yes"/>
    <x v="0"/>
    <s v="Yes"/>
    <n v="20"/>
    <n v="7"/>
    <x v="12"/>
  </r>
  <r>
    <n v="3338"/>
    <x v="107"/>
    <x v="2"/>
    <d v="2024-06-12T00:00:00"/>
    <x v="0"/>
    <n v="10"/>
    <x v="1"/>
    <s v="No"/>
    <x v="1"/>
    <s v="Yes"/>
    <n v="20"/>
    <n v="10"/>
    <x v="2"/>
  </r>
  <r>
    <n v="3339"/>
    <x v="108"/>
    <x v="1"/>
    <d v="2024-06-13T00:00:00"/>
    <x v="1"/>
    <n v="5"/>
    <x v="2"/>
    <s v="No"/>
    <x v="1"/>
    <s v="No"/>
    <n v="0"/>
    <n v="1"/>
    <x v="4"/>
  </r>
  <r>
    <n v="3340"/>
    <x v="109"/>
    <x v="0"/>
    <d v="2024-06-14T00:00:00"/>
    <x v="0"/>
    <n v="15"/>
    <x v="0"/>
    <s v="Yes"/>
    <x v="0"/>
    <s v="Yes"/>
    <n v="20"/>
    <n v="15"/>
    <x v="14"/>
  </r>
  <r>
    <n v="3341"/>
    <x v="110"/>
    <x v="2"/>
    <d v="2024-06-15T00:00:00"/>
    <x v="1"/>
    <n v="10"/>
    <x v="0"/>
    <s v="No"/>
    <x v="1"/>
    <s v="Yes"/>
    <n v="20"/>
    <n v="5"/>
    <x v="13"/>
  </r>
  <r>
    <n v="3342"/>
    <x v="111"/>
    <x v="1"/>
    <d v="2024-06-16T00:00:00"/>
    <x v="0"/>
    <n v="5"/>
    <x v="1"/>
    <s v="No"/>
    <x v="1"/>
    <s v="No"/>
    <n v="0"/>
    <n v="0"/>
    <x v="1"/>
  </r>
  <r>
    <n v="3343"/>
    <x v="112"/>
    <x v="0"/>
    <d v="2024-06-17T00:00:00"/>
    <x v="1"/>
    <n v="15"/>
    <x v="2"/>
    <s v="Yes"/>
    <x v="0"/>
    <s v="Yes"/>
    <n v="20"/>
    <n v="20"/>
    <x v="8"/>
  </r>
  <r>
    <n v="3344"/>
    <x v="113"/>
    <x v="2"/>
    <d v="2024-06-18T00:00:00"/>
    <x v="0"/>
    <n v="10"/>
    <x v="2"/>
    <s v="No"/>
    <x v="1"/>
    <s v="Yes"/>
    <n v="20"/>
    <n v="12"/>
    <x v="10"/>
  </r>
  <r>
    <n v="3345"/>
    <x v="114"/>
    <x v="1"/>
    <d v="2024-06-19T00:00:00"/>
    <x v="1"/>
    <n v="5"/>
    <x v="0"/>
    <s v="No"/>
    <x v="1"/>
    <s v="No"/>
    <n v="0"/>
    <n v="2"/>
    <x v="11"/>
  </r>
  <r>
    <n v="3346"/>
    <x v="115"/>
    <x v="0"/>
    <d v="2024-06-20T00:00:00"/>
    <x v="0"/>
    <n v="15"/>
    <x v="1"/>
    <s v="Yes"/>
    <x v="0"/>
    <s v="Yes"/>
    <n v="20"/>
    <n v="5"/>
    <x v="0"/>
  </r>
  <r>
    <n v="3347"/>
    <x v="116"/>
    <x v="2"/>
    <d v="2024-06-21T00:00:00"/>
    <x v="1"/>
    <n v="10"/>
    <x v="0"/>
    <s v="No"/>
    <x v="1"/>
    <s v="Yes"/>
    <n v="20"/>
    <n v="10"/>
    <x v="2"/>
  </r>
  <r>
    <n v="3348"/>
    <x v="117"/>
    <x v="1"/>
    <d v="2024-06-22T00:00:00"/>
    <x v="0"/>
    <n v="5"/>
    <x v="2"/>
    <s v="No"/>
    <x v="1"/>
    <s v="No"/>
    <n v="0"/>
    <n v="0"/>
    <x v="1"/>
  </r>
  <r>
    <n v="3349"/>
    <x v="93"/>
    <x v="0"/>
    <d v="2024-06-23T00:00:00"/>
    <x v="1"/>
    <n v="15"/>
    <x v="0"/>
    <s v="Yes"/>
    <x v="0"/>
    <s v="Yes"/>
    <n v="20"/>
    <n v="3"/>
    <x v="3"/>
  </r>
  <r>
    <n v="3350"/>
    <x v="118"/>
    <x v="2"/>
    <d v="2024-06-24T00:00:00"/>
    <x v="0"/>
    <n v="10"/>
    <x v="1"/>
    <s v="No"/>
    <x v="1"/>
    <s v="Yes"/>
    <n v="20"/>
    <n v="15"/>
    <x v="7"/>
  </r>
  <r>
    <n v="3351"/>
    <x v="119"/>
    <x v="1"/>
    <d v="2024-06-25T00:00:00"/>
    <x v="1"/>
    <n v="5"/>
    <x v="0"/>
    <s v="No"/>
    <x v="1"/>
    <s v="No"/>
    <n v="0"/>
    <n v="1"/>
    <x v="4"/>
  </r>
  <r>
    <n v="3352"/>
    <x v="120"/>
    <x v="0"/>
    <d v="2024-06-26T00:00:00"/>
    <x v="0"/>
    <n v="15"/>
    <x v="2"/>
    <s v="Yes"/>
    <x v="0"/>
    <s v="Yes"/>
    <n v="20"/>
    <n v="7"/>
    <x v="12"/>
  </r>
  <r>
    <n v="3353"/>
    <x v="121"/>
    <x v="2"/>
    <d v="2024-06-27T00:00:00"/>
    <x v="1"/>
    <n v="10"/>
    <x v="0"/>
    <s v="No"/>
    <x v="1"/>
    <s v="Yes"/>
    <n v="20"/>
    <n v="10"/>
    <x v="2"/>
  </r>
  <r>
    <n v="3354"/>
    <x v="122"/>
    <x v="1"/>
    <d v="2024-06-28T00:00:00"/>
    <x v="0"/>
    <n v="5"/>
    <x v="1"/>
    <s v="No"/>
    <x v="1"/>
    <s v="No"/>
    <n v="0"/>
    <n v="0"/>
    <x v="1"/>
  </r>
  <r>
    <n v="3355"/>
    <x v="123"/>
    <x v="0"/>
    <d v="2024-06-29T00:00:00"/>
    <x v="1"/>
    <n v="15"/>
    <x v="0"/>
    <s v="Yes"/>
    <x v="0"/>
    <s v="Yes"/>
    <n v="20"/>
    <n v="20"/>
    <x v="8"/>
  </r>
  <r>
    <n v="3356"/>
    <x v="124"/>
    <x v="2"/>
    <d v="2024-06-30T00:00:00"/>
    <x v="0"/>
    <n v="10"/>
    <x v="2"/>
    <s v="No"/>
    <x v="1"/>
    <s v="Yes"/>
    <n v="20"/>
    <n v="15"/>
    <x v="7"/>
  </r>
  <r>
    <n v="3357"/>
    <x v="125"/>
    <x v="1"/>
    <d v="2024-07-01T00:00:00"/>
    <x v="1"/>
    <n v="5"/>
    <x v="0"/>
    <s v="No"/>
    <x v="1"/>
    <s v="No"/>
    <n v="0"/>
    <n v="1"/>
    <x v="4"/>
  </r>
  <r>
    <n v="3358"/>
    <x v="126"/>
    <x v="0"/>
    <d v="2024-07-02T00:00:00"/>
    <x v="0"/>
    <n v="15"/>
    <x v="1"/>
    <s v="Yes"/>
    <x v="0"/>
    <s v="Yes"/>
    <n v="20"/>
    <n v="3"/>
    <x v="3"/>
  </r>
  <r>
    <n v="3359"/>
    <x v="127"/>
    <x v="2"/>
    <d v="2024-07-03T00:00:00"/>
    <x v="1"/>
    <n v="10"/>
    <x v="0"/>
    <s v="No"/>
    <x v="1"/>
    <s v="Yes"/>
    <n v="20"/>
    <n v="10"/>
    <x v="2"/>
  </r>
  <r>
    <n v="3360"/>
    <x v="128"/>
    <x v="1"/>
    <d v="2024-07-04T00:00:00"/>
    <x v="0"/>
    <n v="5"/>
    <x v="2"/>
    <s v="No"/>
    <x v="1"/>
    <s v="No"/>
    <n v="0"/>
    <n v="0"/>
    <x v="1"/>
  </r>
  <r>
    <n v="3361"/>
    <x v="129"/>
    <x v="0"/>
    <d v="2024-07-05T00:00:00"/>
    <x v="1"/>
    <n v="15"/>
    <x v="0"/>
    <s v="Yes"/>
    <x v="0"/>
    <s v="Yes"/>
    <n v="20"/>
    <n v="15"/>
    <x v="14"/>
  </r>
  <r>
    <n v="3362"/>
    <x v="130"/>
    <x v="2"/>
    <d v="2024-07-06T00:00:00"/>
    <x v="0"/>
    <n v="10"/>
    <x v="1"/>
    <s v="No"/>
    <x v="1"/>
    <s v="Yes"/>
    <n v="20"/>
    <n v="15"/>
    <x v="7"/>
  </r>
  <r>
    <n v="3363"/>
    <x v="131"/>
    <x v="1"/>
    <d v="2024-07-07T00:00:00"/>
    <x v="1"/>
    <n v="5"/>
    <x v="0"/>
    <s v="No"/>
    <x v="1"/>
    <s v="No"/>
    <n v="0"/>
    <n v="1"/>
    <x v="4"/>
  </r>
  <r>
    <n v="3364"/>
    <x v="132"/>
    <x v="0"/>
    <d v="2024-07-08T00:00:00"/>
    <x v="0"/>
    <n v="15"/>
    <x v="2"/>
    <s v="Yes"/>
    <x v="0"/>
    <s v="Yes"/>
    <n v="20"/>
    <n v="7"/>
    <x v="12"/>
  </r>
  <r>
    <n v="3365"/>
    <x v="133"/>
    <x v="2"/>
    <d v="2024-07-09T00:00:00"/>
    <x v="1"/>
    <n v="10"/>
    <x v="0"/>
    <s v="No"/>
    <x v="1"/>
    <s v="Yes"/>
    <n v="20"/>
    <n v="10"/>
    <x v="2"/>
  </r>
  <r>
    <n v="3366"/>
    <x v="134"/>
    <x v="1"/>
    <d v="2024-07-10T00:00:00"/>
    <x v="0"/>
    <n v="5"/>
    <x v="0"/>
    <s v="No"/>
    <x v="1"/>
    <s v="No"/>
    <n v="0"/>
    <n v="0"/>
    <x v="1"/>
  </r>
  <r>
    <n v="3367"/>
    <x v="135"/>
    <x v="0"/>
    <d v="2024-07-11T00:00:00"/>
    <x v="1"/>
    <n v="15"/>
    <x v="2"/>
    <s v="Yes"/>
    <x v="0"/>
    <s v="Yes"/>
    <n v="20"/>
    <n v="7"/>
    <x v="12"/>
  </r>
  <r>
    <n v="3368"/>
    <x v="136"/>
    <x v="2"/>
    <d v="2024-07-12T00:00:00"/>
    <x v="0"/>
    <n v="10"/>
    <x v="1"/>
    <s v="No"/>
    <x v="1"/>
    <s v="Yes"/>
    <n v="20"/>
    <n v="10"/>
    <x v="2"/>
  </r>
  <r>
    <n v="3369"/>
    <x v="137"/>
    <x v="1"/>
    <d v="2024-07-13T00:00:00"/>
    <x v="1"/>
    <n v="5"/>
    <x v="2"/>
    <s v="No"/>
    <x v="1"/>
    <s v="No"/>
    <n v="0"/>
    <n v="1"/>
    <x v="4"/>
  </r>
  <r>
    <n v="3370"/>
    <x v="138"/>
    <x v="0"/>
    <d v="2024-07-14T00:00:00"/>
    <x v="0"/>
    <n v="15"/>
    <x v="0"/>
    <s v="Yes"/>
    <x v="0"/>
    <s v="Yes"/>
    <n v="20"/>
    <n v="15"/>
    <x v="14"/>
  </r>
  <r>
    <n v="3371"/>
    <x v="139"/>
    <x v="2"/>
    <d v="2024-07-15T00:00:00"/>
    <x v="1"/>
    <n v="10"/>
    <x v="0"/>
    <s v="No"/>
    <x v="1"/>
    <s v="Yes"/>
    <n v="20"/>
    <n v="5"/>
    <x v="13"/>
  </r>
  <r>
    <n v="3372"/>
    <x v="140"/>
    <x v="1"/>
    <d v="2024-07-16T00:00:00"/>
    <x v="0"/>
    <n v="5"/>
    <x v="1"/>
    <s v="No"/>
    <x v="1"/>
    <s v="No"/>
    <n v="0"/>
    <n v="0"/>
    <x v="1"/>
  </r>
  <r>
    <n v="3373"/>
    <x v="141"/>
    <x v="0"/>
    <d v="2024-07-17T00:00:00"/>
    <x v="1"/>
    <n v="15"/>
    <x v="2"/>
    <s v="Yes"/>
    <x v="0"/>
    <s v="Yes"/>
    <n v="20"/>
    <n v="20"/>
    <x v="8"/>
  </r>
  <r>
    <n v="3374"/>
    <x v="142"/>
    <x v="2"/>
    <d v="2024-07-18T00:00:00"/>
    <x v="0"/>
    <n v="10"/>
    <x v="2"/>
    <s v="No"/>
    <x v="1"/>
    <s v="Yes"/>
    <n v="20"/>
    <n v="12"/>
    <x v="10"/>
  </r>
  <r>
    <n v="3375"/>
    <x v="143"/>
    <x v="1"/>
    <d v="2024-07-19T00:00:00"/>
    <x v="1"/>
    <n v="5"/>
    <x v="0"/>
    <s v="No"/>
    <x v="1"/>
    <s v="No"/>
    <n v="0"/>
    <n v="2"/>
    <x v="11"/>
  </r>
  <r>
    <n v="3376"/>
    <x v="144"/>
    <x v="0"/>
    <d v="2024-07-20T00:00:00"/>
    <x v="0"/>
    <n v="15"/>
    <x v="1"/>
    <s v="Yes"/>
    <x v="0"/>
    <s v="Yes"/>
    <n v="20"/>
    <n v="5"/>
    <x v="0"/>
  </r>
  <r>
    <n v="3377"/>
    <x v="145"/>
    <x v="2"/>
    <d v="2024-07-21T00:00:00"/>
    <x v="1"/>
    <n v="10"/>
    <x v="0"/>
    <s v="No"/>
    <x v="1"/>
    <s v="Yes"/>
    <n v="20"/>
    <n v="10"/>
    <x v="2"/>
  </r>
  <r>
    <n v="3378"/>
    <x v="146"/>
    <x v="1"/>
    <d v="2024-07-22T00:00:00"/>
    <x v="0"/>
    <n v="5"/>
    <x v="2"/>
    <s v="No"/>
    <x v="1"/>
    <s v="No"/>
    <n v="0"/>
    <n v="0"/>
    <x v="1"/>
  </r>
  <r>
    <n v="3379"/>
    <x v="147"/>
    <x v="0"/>
    <d v="2024-07-23T00:00:00"/>
    <x v="1"/>
    <n v="15"/>
    <x v="0"/>
    <s v="Yes"/>
    <x v="0"/>
    <s v="Yes"/>
    <n v="20"/>
    <n v="3"/>
    <x v="3"/>
  </r>
  <r>
    <n v="3380"/>
    <x v="148"/>
    <x v="2"/>
    <d v="2024-07-24T00:00:00"/>
    <x v="0"/>
    <n v="10"/>
    <x v="1"/>
    <s v="No"/>
    <x v="1"/>
    <s v="Yes"/>
    <n v="20"/>
    <n v="15"/>
    <x v="7"/>
  </r>
  <r>
    <n v="3381"/>
    <x v="149"/>
    <x v="1"/>
    <d v="2024-07-25T00:00:00"/>
    <x v="1"/>
    <n v="5"/>
    <x v="0"/>
    <s v="No"/>
    <x v="1"/>
    <s v="No"/>
    <n v="0"/>
    <n v="1"/>
    <x v="4"/>
  </r>
  <r>
    <n v="3382"/>
    <x v="150"/>
    <x v="0"/>
    <d v="2024-07-26T00:00:00"/>
    <x v="0"/>
    <n v="15"/>
    <x v="2"/>
    <s v="Yes"/>
    <x v="0"/>
    <s v="Yes"/>
    <n v="20"/>
    <n v="7"/>
    <x v="12"/>
  </r>
  <r>
    <n v="3383"/>
    <x v="151"/>
    <x v="2"/>
    <d v="2024-07-27T00:00:00"/>
    <x v="1"/>
    <n v="10"/>
    <x v="0"/>
    <s v="No"/>
    <x v="1"/>
    <s v="Yes"/>
    <n v="20"/>
    <n v="10"/>
    <x v="2"/>
  </r>
  <r>
    <n v="3384"/>
    <x v="152"/>
    <x v="1"/>
    <d v="2024-07-28T00:00:00"/>
    <x v="0"/>
    <n v="5"/>
    <x v="1"/>
    <s v="No"/>
    <x v="1"/>
    <s v="No"/>
    <n v="0"/>
    <n v="0"/>
    <x v="1"/>
  </r>
  <r>
    <n v="3385"/>
    <x v="153"/>
    <x v="0"/>
    <d v="2024-07-29T00:00:00"/>
    <x v="1"/>
    <n v="15"/>
    <x v="0"/>
    <s v="Yes"/>
    <x v="0"/>
    <s v="Yes"/>
    <n v="20"/>
    <n v="20"/>
    <x v="8"/>
  </r>
  <r>
    <n v="3386"/>
    <x v="154"/>
    <x v="2"/>
    <d v="2024-07-30T00:00:00"/>
    <x v="0"/>
    <n v="10"/>
    <x v="2"/>
    <s v="No"/>
    <x v="1"/>
    <s v="Yes"/>
    <n v="20"/>
    <n v="15"/>
    <x v="7"/>
  </r>
  <r>
    <n v="3387"/>
    <x v="155"/>
    <x v="1"/>
    <d v="2024-07-31T00:00:00"/>
    <x v="1"/>
    <n v="5"/>
    <x v="0"/>
    <s v="No"/>
    <x v="1"/>
    <s v="No"/>
    <n v="0"/>
    <n v="1"/>
    <x v="4"/>
  </r>
  <r>
    <n v="3388"/>
    <x v="156"/>
    <x v="0"/>
    <d v="2024-08-01T00:00:00"/>
    <x v="0"/>
    <n v="15"/>
    <x v="1"/>
    <s v="Yes"/>
    <x v="0"/>
    <s v="Yes"/>
    <n v="20"/>
    <n v="3"/>
    <x v="3"/>
  </r>
  <r>
    <n v="3389"/>
    <x v="157"/>
    <x v="2"/>
    <d v="2024-08-02T00:00:00"/>
    <x v="1"/>
    <n v="10"/>
    <x v="0"/>
    <s v="No"/>
    <x v="1"/>
    <s v="Yes"/>
    <n v="20"/>
    <n v="10"/>
    <x v="2"/>
  </r>
  <r>
    <n v="3390"/>
    <x v="158"/>
    <x v="1"/>
    <d v="2024-08-03T00:00:00"/>
    <x v="0"/>
    <n v="5"/>
    <x v="2"/>
    <s v="No"/>
    <x v="1"/>
    <s v="No"/>
    <n v="0"/>
    <n v="0"/>
    <x v="1"/>
  </r>
  <r>
    <n v="3391"/>
    <x v="58"/>
    <x v="0"/>
    <d v="2024-08-04T00:00:00"/>
    <x v="1"/>
    <n v="15"/>
    <x v="0"/>
    <s v="Yes"/>
    <x v="0"/>
    <s v="Yes"/>
    <n v="20"/>
    <n v="15"/>
    <x v="14"/>
  </r>
  <r>
    <n v="3392"/>
    <x v="159"/>
    <x v="2"/>
    <d v="2024-08-05T00:00:00"/>
    <x v="0"/>
    <n v="10"/>
    <x v="1"/>
    <s v="No"/>
    <x v="1"/>
    <s v="Yes"/>
    <n v="20"/>
    <n v="15"/>
    <x v="7"/>
  </r>
  <r>
    <n v="3393"/>
    <x v="160"/>
    <x v="1"/>
    <d v="2024-08-06T00:00:00"/>
    <x v="1"/>
    <n v="5"/>
    <x v="0"/>
    <s v="No"/>
    <x v="1"/>
    <s v="No"/>
    <n v="0"/>
    <n v="1"/>
    <x v="4"/>
  </r>
  <r>
    <n v="3394"/>
    <x v="161"/>
    <x v="0"/>
    <d v="2024-08-07T00:00:00"/>
    <x v="0"/>
    <n v="15"/>
    <x v="2"/>
    <s v="Yes"/>
    <x v="0"/>
    <s v="Yes"/>
    <n v="20"/>
    <n v="7"/>
    <x v="12"/>
  </r>
  <r>
    <n v="3395"/>
    <x v="162"/>
    <x v="2"/>
    <d v="2024-08-08T00:00:00"/>
    <x v="1"/>
    <n v="10"/>
    <x v="0"/>
    <s v="No"/>
    <x v="1"/>
    <s v="Yes"/>
    <n v="20"/>
    <n v="10"/>
    <x v="2"/>
  </r>
  <r>
    <n v="3396"/>
    <x v="163"/>
    <x v="1"/>
    <d v="2024-08-09T00:00:00"/>
    <x v="0"/>
    <n v="5"/>
    <x v="1"/>
    <s v="No"/>
    <x v="1"/>
    <s v="No"/>
    <n v="0"/>
    <n v="0"/>
    <x v="1"/>
  </r>
  <r>
    <n v="3397"/>
    <x v="90"/>
    <x v="0"/>
    <d v="2024-08-10T00:00:00"/>
    <x v="1"/>
    <n v="15"/>
    <x v="0"/>
    <s v="Yes"/>
    <x v="0"/>
    <s v="Yes"/>
    <n v="20"/>
    <n v="20"/>
    <x v="8"/>
  </r>
  <r>
    <n v="3398"/>
    <x v="164"/>
    <x v="2"/>
    <d v="2024-08-11T00:00:00"/>
    <x v="0"/>
    <n v="10"/>
    <x v="2"/>
    <s v="No"/>
    <x v="1"/>
    <s v="Yes"/>
    <n v="20"/>
    <n v="15"/>
    <x v="7"/>
  </r>
  <r>
    <n v="3399"/>
    <x v="165"/>
    <x v="1"/>
    <d v="2024-08-12T00:00:00"/>
    <x v="1"/>
    <n v="5"/>
    <x v="0"/>
    <s v="No"/>
    <x v="1"/>
    <s v="No"/>
    <n v="0"/>
    <n v="1"/>
    <x v="4"/>
  </r>
  <r>
    <n v="3400"/>
    <x v="166"/>
    <x v="0"/>
    <d v="2024-08-13T00:00:00"/>
    <x v="0"/>
    <n v="15"/>
    <x v="1"/>
    <s v="Yes"/>
    <x v="0"/>
    <s v="Yes"/>
    <n v="20"/>
    <n v="5"/>
    <x v="0"/>
  </r>
  <r>
    <n v="3401"/>
    <x v="167"/>
    <x v="2"/>
    <d v="2024-08-14T00:00:00"/>
    <x v="1"/>
    <n v="10"/>
    <x v="0"/>
    <s v="No"/>
    <x v="1"/>
    <s v="Yes"/>
    <n v="20"/>
    <n v="10"/>
    <x v="2"/>
  </r>
  <r>
    <n v="3402"/>
    <x v="168"/>
    <x v="1"/>
    <d v="2024-08-15T00:00:00"/>
    <x v="0"/>
    <n v="5"/>
    <x v="2"/>
    <s v="No"/>
    <x v="1"/>
    <s v="No"/>
    <n v="0"/>
    <n v="0"/>
    <x v="1"/>
  </r>
  <r>
    <n v="3403"/>
    <x v="169"/>
    <x v="0"/>
    <d v="2024-08-16T00:00:00"/>
    <x v="1"/>
    <n v="15"/>
    <x v="0"/>
    <s v="Yes"/>
    <x v="0"/>
    <s v="Yes"/>
    <n v="20"/>
    <n v="3"/>
    <x v="3"/>
  </r>
  <r>
    <n v="3404"/>
    <x v="170"/>
    <x v="2"/>
    <d v="2024-08-17T00:00:00"/>
    <x v="0"/>
    <n v="10"/>
    <x v="1"/>
    <s v="No"/>
    <x v="1"/>
    <s v="Yes"/>
    <n v="20"/>
    <n v="15"/>
    <x v="7"/>
  </r>
  <r>
    <n v="3405"/>
    <x v="171"/>
    <x v="1"/>
    <d v="2024-08-18T00:00:00"/>
    <x v="1"/>
    <n v="5"/>
    <x v="0"/>
    <s v="No"/>
    <x v="1"/>
    <s v="No"/>
    <n v="0"/>
    <n v="1"/>
    <x v="4"/>
  </r>
  <r>
    <n v="3406"/>
    <x v="172"/>
    <x v="1"/>
    <d v="2024-08-19T00:00:00"/>
    <x v="0"/>
    <n v="5"/>
    <x v="0"/>
    <s v="No"/>
    <x v="1"/>
    <s v="No"/>
    <n v="0"/>
    <n v="0"/>
    <x v="1"/>
  </r>
  <r>
    <n v="3407"/>
    <x v="173"/>
    <x v="0"/>
    <d v="2024-08-20T00:00:00"/>
    <x v="1"/>
    <n v="15"/>
    <x v="2"/>
    <s v="Yes"/>
    <x v="0"/>
    <s v="Yes"/>
    <n v="20"/>
    <n v="7"/>
    <x v="12"/>
  </r>
  <r>
    <n v="3408"/>
    <x v="174"/>
    <x v="2"/>
    <d v="2024-08-21T00:00:00"/>
    <x v="0"/>
    <n v="10"/>
    <x v="1"/>
    <s v="No"/>
    <x v="1"/>
    <s v="Yes"/>
    <n v="20"/>
    <n v="10"/>
    <x v="2"/>
  </r>
  <r>
    <n v="3409"/>
    <x v="175"/>
    <x v="1"/>
    <d v="2024-08-22T00:00:00"/>
    <x v="1"/>
    <n v="5"/>
    <x v="2"/>
    <s v="No"/>
    <x v="1"/>
    <s v="No"/>
    <n v="0"/>
    <n v="1"/>
    <x v="4"/>
  </r>
  <r>
    <n v="3410"/>
    <x v="176"/>
    <x v="0"/>
    <d v="2024-08-23T00:00:00"/>
    <x v="0"/>
    <n v="15"/>
    <x v="0"/>
    <s v="Yes"/>
    <x v="0"/>
    <s v="Yes"/>
    <n v="20"/>
    <n v="15"/>
    <x v="14"/>
  </r>
  <r>
    <n v="3411"/>
    <x v="177"/>
    <x v="2"/>
    <d v="2024-08-24T00:00:00"/>
    <x v="1"/>
    <n v="10"/>
    <x v="0"/>
    <s v="No"/>
    <x v="1"/>
    <s v="Yes"/>
    <n v="20"/>
    <n v="5"/>
    <x v="13"/>
  </r>
  <r>
    <n v="3412"/>
    <x v="178"/>
    <x v="1"/>
    <d v="2024-08-25T00:00:00"/>
    <x v="0"/>
    <n v="5"/>
    <x v="1"/>
    <s v="No"/>
    <x v="1"/>
    <s v="No"/>
    <n v="0"/>
    <n v="0"/>
    <x v="1"/>
  </r>
  <r>
    <n v="3413"/>
    <x v="179"/>
    <x v="0"/>
    <d v="2024-08-26T00:00:00"/>
    <x v="1"/>
    <n v="15"/>
    <x v="2"/>
    <s v="Yes"/>
    <x v="0"/>
    <s v="Yes"/>
    <n v="20"/>
    <n v="20"/>
    <x v="8"/>
  </r>
  <r>
    <n v="3414"/>
    <x v="180"/>
    <x v="2"/>
    <d v="2024-08-27T00:00:00"/>
    <x v="0"/>
    <n v="10"/>
    <x v="2"/>
    <s v="No"/>
    <x v="1"/>
    <s v="Yes"/>
    <n v="20"/>
    <n v="12"/>
    <x v="10"/>
  </r>
  <r>
    <n v="3415"/>
    <x v="181"/>
    <x v="1"/>
    <d v="2024-08-28T00:00:00"/>
    <x v="1"/>
    <n v="5"/>
    <x v="0"/>
    <s v="No"/>
    <x v="1"/>
    <s v="No"/>
    <n v="0"/>
    <n v="2"/>
    <x v="11"/>
  </r>
  <r>
    <n v="3416"/>
    <x v="182"/>
    <x v="0"/>
    <d v="2024-08-29T00:00:00"/>
    <x v="0"/>
    <n v="15"/>
    <x v="1"/>
    <s v="Yes"/>
    <x v="0"/>
    <s v="Yes"/>
    <n v="20"/>
    <n v="5"/>
    <x v="0"/>
  </r>
  <r>
    <n v="3417"/>
    <x v="183"/>
    <x v="2"/>
    <d v="2024-08-30T00:00:00"/>
    <x v="1"/>
    <n v="10"/>
    <x v="0"/>
    <s v="No"/>
    <x v="1"/>
    <s v="Yes"/>
    <n v="20"/>
    <n v="10"/>
    <x v="2"/>
  </r>
  <r>
    <n v="3418"/>
    <x v="184"/>
    <x v="1"/>
    <d v="2024-08-31T00:00:00"/>
    <x v="0"/>
    <n v="5"/>
    <x v="2"/>
    <s v="No"/>
    <x v="1"/>
    <s v="No"/>
    <n v="0"/>
    <n v="0"/>
    <x v="1"/>
  </r>
  <r>
    <n v="3419"/>
    <x v="185"/>
    <x v="0"/>
    <d v="2024-09-01T00:00:00"/>
    <x v="1"/>
    <n v="15"/>
    <x v="0"/>
    <s v="Yes"/>
    <x v="0"/>
    <s v="Yes"/>
    <n v="20"/>
    <n v="3"/>
    <x v="3"/>
  </r>
  <r>
    <n v="3420"/>
    <x v="186"/>
    <x v="2"/>
    <d v="2024-09-02T00:00:00"/>
    <x v="0"/>
    <n v="10"/>
    <x v="1"/>
    <s v="No"/>
    <x v="1"/>
    <s v="Yes"/>
    <n v="20"/>
    <n v="15"/>
    <x v="7"/>
  </r>
  <r>
    <n v="3421"/>
    <x v="15"/>
    <x v="1"/>
    <d v="2024-09-03T00:00:00"/>
    <x v="1"/>
    <n v="5"/>
    <x v="0"/>
    <s v="No"/>
    <x v="1"/>
    <s v="No"/>
    <n v="0"/>
    <n v="1"/>
    <x v="4"/>
  </r>
  <r>
    <n v="3422"/>
    <x v="187"/>
    <x v="0"/>
    <d v="2024-09-04T00:00:00"/>
    <x v="0"/>
    <n v="15"/>
    <x v="2"/>
    <s v="Yes"/>
    <x v="0"/>
    <s v="Yes"/>
    <n v="20"/>
    <n v="7"/>
    <x v="12"/>
  </r>
  <r>
    <n v="3423"/>
    <x v="188"/>
    <x v="2"/>
    <d v="2024-09-05T00:00:00"/>
    <x v="1"/>
    <n v="10"/>
    <x v="0"/>
    <s v="No"/>
    <x v="1"/>
    <s v="Yes"/>
    <n v="20"/>
    <n v="10"/>
    <x v="2"/>
  </r>
  <r>
    <n v="3424"/>
    <x v="14"/>
    <x v="1"/>
    <d v="2024-09-06T00:00:00"/>
    <x v="0"/>
    <n v="5"/>
    <x v="1"/>
    <s v="No"/>
    <x v="1"/>
    <s v="No"/>
    <n v="0"/>
    <n v="0"/>
    <x v="1"/>
  </r>
  <r>
    <n v="3425"/>
    <x v="189"/>
    <x v="0"/>
    <d v="2024-09-07T00:00:00"/>
    <x v="1"/>
    <n v="15"/>
    <x v="0"/>
    <s v="Yes"/>
    <x v="0"/>
    <s v="Yes"/>
    <n v="20"/>
    <n v="20"/>
    <x v="8"/>
  </r>
  <r>
    <n v="3426"/>
    <x v="167"/>
    <x v="2"/>
    <d v="2024-09-08T00:00:00"/>
    <x v="0"/>
    <n v="10"/>
    <x v="2"/>
    <s v="No"/>
    <x v="1"/>
    <s v="Yes"/>
    <n v="20"/>
    <n v="15"/>
    <x v="7"/>
  </r>
  <r>
    <n v="3427"/>
    <x v="190"/>
    <x v="1"/>
    <d v="2024-09-09T00:00:00"/>
    <x v="1"/>
    <n v="5"/>
    <x v="0"/>
    <s v="No"/>
    <x v="1"/>
    <s v="No"/>
    <n v="0"/>
    <n v="1"/>
    <x v="4"/>
  </r>
  <r>
    <n v="3428"/>
    <x v="191"/>
    <x v="0"/>
    <d v="2024-09-10T00:00:00"/>
    <x v="0"/>
    <n v="15"/>
    <x v="1"/>
    <s v="Yes"/>
    <x v="0"/>
    <s v="Yes"/>
    <n v="20"/>
    <n v="3"/>
    <x v="3"/>
  </r>
  <r>
    <n v="3429"/>
    <x v="192"/>
    <x v="2"/>
    <d v="2024-09-11T00:00:00"/>
    <x v="1"/>
    <n v="10"/>
    <x v="0"/>
    <s v="No"/>
    <x v="1"/>
    <s v="Yes"/>
    <n v="20"/>
    <n v="10"/>
    <x v="2"/>
  </r>
  <r>
    <n v="3430"/>
    <x v="193"/>
    <x v="1"/>
    <d v="2024-09-12T00:00:00"/>
    <x v="0"/>
    <n v="5"/>
    <x v="2"/>
    <s v="No"/>
    <x v="1"/>
    <s v="No"/>
    <n v="0"/>
    <n v="0"/>
    <x v="1"/>
  </r>
  <r>
    <n v="3431"/>
    <x v="194"/>
    <x v="0"/>
    <d v="2024-09-13T00:00:00"/>
    <x v="1"/>
    <n v="15"/>
    <x v="0"/>
    <s v="Yes"/>
    <x v="0"/>
    <s v="Yes"/>
    <n v="20"/>
    <n v="15"/>
    <x v="14"/>
  </r>
  <r>
    <n v="3432"/>
    <x v="195"/>
    <x v="2"/>
    <d v="2024-09-14T00:00:00"/>
    <x v="0"/>
    <n v="10"/>
    <x v="1"/>
    <s v="No"/>
    <x v="1"/>
    <s v="Yes"/>
    <n v="20"/>
    <n v="15"/>
    <x v="7"/>
  </r>
  <r>
    <n v="3433"/>
    <x v="196"/>
    <x v="1"/>
    <d v="2024-09-15T00:00:00"/>
    <x v="1"/>
    <n v="5"/>
    <x v="0"/>
    <s v="No"/>
    <x v="1"/>
    <s v="No"/>
    <n v="0"/>
    <n v="1"/>
    <x v="4"/>
  </r>
  <r>
    <n v="3434"/>
    <x v="197"/>
    <x v="0"/>
    <d v="2024-09-16T00:00:00"/>
    <x v="0"/>
    <n v="15"/>
    <x v="2"/>
    <s v="Yes"/>
    <x v="0"/>
    <s v="Yes"/>
    <n v="20"/>
    <n v="7"/>
    <x v="12"/>
  </r>
  <r>
    <n v="3435"/>
    <x v="198"/>
    <x v="2"/>
    <d v="2024-09-17T00:00:00"/>
    <x v="1"/>
    <n v="10"/>
    <x v="0"/>
    <s v="No"/>
    <x v="1"/>
    <s v="Yes"/>
    <n v="20"/>
    <n v="10"/>
    <x v="2"/>
  </r>
  <r>
    <n v="3436"/>
    <x v="199"/>
    <x v="1"/>
    <d v="2024-09-18T00:00:00"/>
    <x v="0"/>
    <n v="5"/>
    <x v="0"/>
    <s v="No"/>
    <x v="1"/>
    <s v="No"/>
    <n v="0"/>
    <n v="0"/>
    <x v="1"/>
  </r>
  <r>
    <n v="3437"/>
    <x v="200"/>
    <x v="0"/>
    <d v="2024-09-19T00:00:00"/>
    <x v="1"/>
    <n v="15"/>
    <x v="2"/>
    <s v="Yes"/>
    <x v="0"/>
    <s v="Yes"/>
    <n v="20"/>
    <n v="7"/>
    <x v="12"/>
  </r>
  <r>
    <n v="3438"/>
    <x v="201"/>
    <x v="2"/>
    <d v="2024-09-20T00:00:00"/>
    <x v="0"/>
    <n v="10"/>
    <x v="1"/>
    <s v="No"/>
    <x v="1"/>
    <s v="Yes"/>
    <n v="20"/>
    <n v="10"/>
    <x v="2"/>
  </r>
  <r>
    <n v="3439"/>
    <x v="202"/>
    <x v="1"/>
    <d v="2024-09-21T00:00:00"/>
    <x v="1"/>
    <n v="5"/>
    <x v="2"/>
    <s v="No"/>
    <x v="1"/>
    <s v="No"/>
    <n v="0"/>
    <n v="1"/>
    <x v="4"/>
  </r>
  <r>
    <n v="3440"/>
    <x v="203"/>
    <x v="0"/>
    <d v="2024-09-22T00:00:00"/>
    <x v="0"/>
    <n v="15"/>
    <x v="0"/>
    <s v="Yes"/>
    <x v="0"/>
    <s v="Yes"/>
    <n v="20"/>
    <n v="15"/>
    <x v="14"/>
  </r>
  <r>
    <n v="3441"/>
    <x v="204"/>
    <x v="2"/>
    <d v="2024-09-23T00:00:00"/>
    <x v="1"/>
    <n v="10"/>
    <x v="0"/>
    <s v="No"/>
    <x v="1"/>
    <s v="Yes"/>
    <n v="20"/>
    <n v="5"/>
    <x v="13"/>
  </r>
  <r>
    <n v="3442"/>
    <x v="205"/>
    <x v="1"/>
    <d v="2024-09-24T00:00:00"/>
    <x v="0"/>
    <n v="5"/>
    <x v="1"/>
    <s v="No"/>
    <x v="1"/>
    <s v="No"/>
    <n v="0"/>
    <n v="0"/>
    <x v="1"/>
  </r>
  <r>
    <n v="3443"/>
    <x v="206"/>
    <x v="0"/>
    <d v="2024-09-25T00:00:00"/>
    <x v="1"/>
    <n v="15"/>
    <x v="2"/>
    <s v="Yes"/>
    <x v="0"/>
    <s v="Yes"/>
    <n v="20"/>
    <n v="20"/>
    <x v="8"/>
  </r>
  <r>
    <n v="3444"/>
    <x v="207"/>
    <x v="2"/>
    <d v="2024-09-26T00:00:00"/>
    <x v="0"/>
    <n v="10"/>
    <x v="2"/>
    <s v="No"/>
    <x v="1"/>
    <s v="Yes"/>
    <n v="20"/>
    <n v="12"/>
    <x v="10"/>
  </r>
  <r>
    <n v="3445"/>
    <x v="37"/>
    <x v="1"/>
    <d v="2024-09-27T00:00:00"/>
    <x v="1"/>
    <n v="5"/>
    <x v="0"/>
    <s v="No"/>
    <x v="1"/>
    <s v="No"/>
    <n v="0"/>
    <n v="2"/>
    <x v="11"/>
  </r>
  <r>
    <n v="3446"/>
    <x v="208"/>
    <x v="0"/>
    <d v="2024-09-28T00:00:00"/>
    <x v="0"/>
    <n v="15"/>
    <x v="1"/>
    <s v="Yes"/>
    <x v="0"/>
    <s v="Yes"/>
    <n v="20"/>
    <n v="5"/>
    <x v="0"/>
  </r>
  <r>
    <n v="3447"/>
    <x v="209"/>
    <x v="2"/>
    <d v="2024-09-29T00:00:00"/>
    <x v="1"/>
    <n v="10"/>
    <x v="0"/>
    <s v="No"/>
    <x v="1"/>
    <s v="Yes"/>
    <n v="20"/>
    <n v="10"/>
    <x v="2"/>
  </r>
  <r>
    <n v="3448"/>
    <x v="210"/>
    <x v="1"/>
    <d v="2024-09-30T00:00:00"/>
    <x v="0"/>
    <n v="5"/>
    <x v="2"/>
    <s v="No"/>
    <x v="1"/>
    <s v="No"/>
    <n v="0"/>
    <n v="0"/>
    <x v="1"/>
  </r>
  <r>
    <n v="3449"/>
    <x v="211"/>
    <x v="0"/>
    <d v="2024-10-01T00:00:00"/>
    <x v="1"/>
    <n v="15"/>
    <x v="0"/>
    <s v="Yes"/>
    <x v="0"/>
    <s v="Yes"/>
    <n v="20"/>
    <n v="3"/>
    <x v="3"/>
  </r>
  <r>
    <n v="3450"/>
    <x v="212"/>
    <x v="2"/>
    <d v="2024-10-02T00:00:00"/>
    <x v="0"/>
    <n v="10"/>
    <x v="1"/>
    <s v="No"/>
    <x v="1"/>
    <s v="Yes"/>
    <n v="20"/>
    <n v="15"/>
    <x v="7"/>
  </r>
  <r>
    <n v="3451"/>
    <x v="213"/>
    <x v="1"/>
    <d v="2024-10-03T00:00:00"/>
    <x v="1"/>
    <n v="5"/>
    <x v="0"/>
    <s v="No"/>
    <x v="1"/>
    <s v="No"/>
    <n v="0"/>
    <n v="1"/>
    <x v="4"/>
  </r>
  <r>
    <n v="3452"/>
    <x v="191"/>
    <x v="0"/>
    <d v="2024-10-04T00:00:00"/>
    <x v="0"/>
    <n v="15"/>
    <x v="2"/>
    <s v="Yes"/>
    <x v="0"/>
    <s v="Yes"/>
    <n v="20"/>
    <n v="7"/>
    <x v="12"/>
  </r>
  <r>
    <n v="3453"/>
    <x v="45"/>
    <x v="2"/>
    <d v="2024-10-05T00:00:00"/>
    <x v="1"/>
    <n v="10"/>
    <x v="0"/>
    <s v="No"/>
    <x v="1"/>
    <s v="Yes"/>
    <n v="20"/>
    <n v="10"/>
    <x v="2"/>
  </r>
  <r>
    <n v="3454"/>
    <x v="214"/>
    <x v="1"/>
    <d v="2024-10-06T00:00:00"/>
    <x v="0"/>
    <n v="5"/>
    <x v="1"/>
    <s v="No"/>
    <x v="1"/>
    <s v="No"/>
    <n v="0"/>
    <n v="0"/>
    <x v="1"/>
  </r>
  <r>
    <n v="3455"/>
    <x v="215"/>
    <x v="0"/>
    <d v="2024-10-07T00:00:00"/>
    <x v="1"/>
    <n v="15"/>
    <x v="0"/>
    <s v="Yes"/>
    <x v="0"/>
    <s v="Yes"/>
    <n v="20"/>
    <n v="20"/>
    <x v="8"/>
  </r>
  <r>
    <n v="3456"/>
    <x v="216"/>
    <x v="2"/>
    <d v="2024-10-08T00:00:00"/>
    <x v="0"/>
    <n v="10"/>
    <x v="2"/>
    <s v="No"/>
    <x v="1"/>
    <s v="Yes"/>
    <n v="20"/>
    <n v="15"/>
    <x v="7"/>
  </r>
  <r>
    <n v="3457"/>
    <x v="217"/>
    <x v="1"/>
    <d v="2024-10-09T00:00:00"/>
    <x v="1"/>
    <n v="5"/>
    <x v="0"/>
    <s v="No"/>
    <x v="1"/>
    <s v="No"/>
    <n v="0"/>
    <n v="1"/>
    <x v="4"/>
  </r>
  <r>
    <n v="3458"/>
    <x v="218"/>
    <x v="0"/>
    <d v="2024-10-10T00:00:00"/>
    <x v="0"/>
    <n v="15"/>
    <x v="1"/>
    <s v="Yes"/>
    <x v="0"/>
    <s v="Yes"/>
    <n v="20"/>
    <n v="3"/>
    <x v="3"/>
  </r>
  <r>
    <n v="3459"/>
    <x v="219"/>
    <x v="2"/>
    <d v="2024-10-11T00:00:00"/>
    <x v="1"/>
    <n v="10"/>
    <x v="0"/>
    <s v="No"/>
    <x v="1"/>
    <s v="Yes"/>
    <n v="20"/>
    <n v="10"/>
    <x v="2"/>
  </r>
  <r>
    <n v="3460"/>
    <x v="127"/>
    <x v="1"/>
    <d v="2024-10-12T00:00:00"/>
    <x v="0"/>
    <n v="5"/>
    <x v="2"/>
    <s v="No"/>
    <x v="1"/>
    <s v="No"/>
    <n v="0"/>
    <n v="0"/>
    <x v="1"/>
  </r>
  <r>
    <n v="3461"/>
    <x v="220"/>
    <x v="0"/>
    <d v="2024-10-13T00:00:00"/>
    <x v="1"/>
    <n v="15"/>
    <x v="0"/>
    <s v="Yes"/>
    <x v="0"/>
    <s v="Yes"/>
    <n v="20"/>
    <n v="15"/>
    <x v="14"/>
  </r>
  <r>
    <n v="3462"/>
    <x v="221"/>
    <x v="2"/>
    <d v="2024-10-14T00:00:00"/>
    <x v="0"/>
    <n v="10"/>
    <x v="1"/>
    <s v="No"/>
    <x v="1"/>
    <s v="Yes"/>
    <n v="20"/>
    <n v="15"/>
    <x v="7"/>
  </r>
  <r>
    <n v="3463"/>
    <x v="222"/>
    <x v="1"/>
    <d v="2024-10-15T00:00:00"/>
    <x v="1"/>
    <n v="5"/>
    <x v="0"/>
    <s v="No"/>
    <x v="1"/>
    <s v="No"/>
    <n v="0"/>
    <n v="1"/>
    <x v="4"/>
  </r>
  <r>
    <n v="3464"/>
    <x v="223"/>
    <x v="0"/>
    <d v="2024-10-16T00:00:00"/>
    <x v="0"/>
    <n v="15"/>
    <x v="2"/>
    <s v="Yes"/>
    <x v="0"/>
    <s v="Yes"/>
    <n v="20"/>
    <n v="7"/>
    <x v="12"/>
  </r>
  <r>
    <n v="3465"/>
    <x v="224"/>
    <x v="2"/>
    <d v="2024-10-17T00:00:00"/>
    <x v="1"/>
    <n v="10"/>
    <x v="0"/>
    <s v="No"/>
    <x v="1"/>
    <s v="Yes"/>
    <n v="20"/>
    <n v="10"/>
    <x v="2"/>
  </r>
  <r>
    <n v="3466"/>
    <x v="225"/>
    <x v="1"/>
    <d v="2024-10-18T00:00:00"/>
    <x v="0"/>
    <n v="5"/>
    <x v="1"/>
    <s v="No"/>
    <x v="1"/>
    <s v="No"/>
    <n v="0"/>
    <n v="0"/>
    <x v="1"/>
  </r>
  <r>
    <n v="3467"/>
    <x v="226"/>
    <x v="0"/>
    <d v="2024-10-19T00:00:00"/>
    <x v="1"/>
    <n v="15"/>
    <x v="0"/>
    <s v="Yes"/>
    <x v="0"/>
    <s v="Yes"/>
    <n v="20"/>
    <n v="15"/>
    <x v="14"/>
  </r>
  <r>
    <n v="3468"/>
    <x v="227"/>
    <x v="2"/>
    <d v="2024-10-20T00:00:00"/>
    <x v="0"/>
    <n v="10"/>
    <x v="2"/>
    <s v="No"/>
    <x v="1"/>
    <s v="Yes"/>
    <n v="20"/>
    <n v="12"/>
    <x v="10"/>
  </r>
  <r>
    <n v="3469"/>
    <x v="228"/>
    <x v="1"/>
    <d v="2024-10-21T00:00:00"/>
    <x v="1"/>
    <n v="5"/>
    <x v="0"/>
    <s v="No"/>
    <x v="1"/>
    <s v="No"/>
    <n v="0"/>
    <n v="2"/>
    <x v="11"/>
  </r>
  <r>
    <n v="3470"/>
    <x v="229"/>
    <x v="0"/>
    <d v="2024-10-22T00:00:00"/>
    <x v="0"/>
    <n v="15"/>
    <x v="1"/>
    <s v="Yes"/>
    <x v="0"/>
    <s v="Yes"/>
    <n v="20"/>
    <n v="5"/>
    <x v="0"/>
  </r>
  <r>
    <n v="3471"/>
    <x v="230"/>
    <x v="2"/>
    <d v="2024-10-23T00:00:00"/>
    <x v="1"/>
    <n v="10"/>
    <x v="0"/>
    <s v="No"/>
    <x v="1"/>
    <s v="Yes"/>
    <n v="20"/>
    <n v="10"/>
    <x v="2"/>
  </r>
  <r>
    <n v="3472"/>
    <x v="231"/>
    <x v="1"/>
    <d v="2024-10-24T00:00:00"/>
    <x v="0"/>
    <n v="5"/>
    <x v="2"/>
    <s v="No"/>
    <x v="1"/>
    <s v="No"/>
    <n v="0"/>
    <n v="0"/>
    <x v="1"/>
  </r>
  <r>
    <n v="3473"/>
    <x v="140"/>
    <x v="0"/>
    <d v="2024-10-25T00:00:00"/>
    <x v="1"/>
    <n v="15"/>
    <x v="0"/>
    <s v="Yes"/>
    <x v="0"/>
    <s v="Yes"/>
    <n v="20"/>
    <n v="3"/>
    <x v="3"/>
  </r>
  <r>
    <n v="3474"/>
    <x v="232"/>
    <x v="2"/>
    <d v="2024-10-26T00:00:00"/>
    <x v="0"/>
    <n v="10"/>
    <x v="1"/>
    <s v="No"/>
    <x v="1"/>
    <s v="Yes"/>
    <n v="20"/>
    <n v="15"/>
    <x v="7"/>
  </r>
  <r>
    <n v="3475"/>
    <x v="233"/>
    <x v="1"/>
    <d v="2024-10-27T00:00:00"/>
    <x v="1"/>
    <n v="5"/>
    <x v="0"/>
    <s v="No"/>
    <x v="1"/>
    <s v="No"/>
    <n v="0"/>
    <n v="1"/>
    <x v="4"/>
  </r>
  <r>
    <n v="3476"/>
    <x v="234"/>
    <x v="0"/>
    <d v="2024-10-28T00:00:00"/>
    <x v="0"/>
    <n v="15"/>
    <x v="2"/>
    <s v="Yes"/>
    <x v="0"/>
    <s v="Yes"/>
    <n v="20"/>
    <n v="7"/>
    <x v="12"/>
  </r>
  <r>
    <n v="3477"/>
    <x v="235"/>
    <x v="2"/>
    <d v="2024-10-29T00:00:00"/>
    <x v="1"/>
    <n v="10"/>
    <x v="0"/>
    <s v="No"/>
    <x v="1"/>
    <s v="Yes"/>
    <n v="20"/>
    <n v="10"/>
    <x v="2"/>
  </r>
  <r>
    <n v="3478"/>
    <x v="236"/>
    <x v="1"/>
    <d v="2024-10-30T00:00:00"/>
    <x v="0"/>
    <n v="5"/>
    <x v="1"/>
    <s v="No"/>
    <x v="1"/>
    <s v="No"/>
    <n v="0"/>
    <n v="0"/>
    <x v="1"/>
  </r>
  <r>
    <n v="3479"/>
    <x v="237"/>
    <x v="0"/>
    <d v="2024-10-31T00:00:00"/>
    <x v="1"/>
    <n v="15"/>
    <x v="0"/>
    <s v="Yes"/>
    <x v="0"/>
    <s v="Yes"/>
    <n v="20"/>
    <n v="20"/>
    <x v="8"/>
  </r>
  <r>
    <n v="3480"/>
    <x v="238"/>
    <x v="2"/>
    <d v="2024-11-01T00:00:00"/>
    <x v="0"/>
    <n v="10"/>
    <x v="2"/>
    <s v="No"/>
    <x v="1"/>
    <s v="Yes"/>
    <n v="20"/>
    <n v="15"/>
    <x v="7"/>
  </r>
  <r>
    <n v="3481"/>
    <x v="239"/>
    <x v="1"/>
    <d v="2024-11-02T00:00:00"/>
    <x v="1"/>
    <n v="5"/>
    <x v="0"/>
    <s v="No"/>
    <x v="1"/>
    <s v="No"/>
    <n v="0"/>
    <n v="1"/>
    <x v="4"/>
  </r>
  <r>
    <n v="3482"/>
    <x v="240"/>
    <x v="0"/>
    <d v="2024-11-03T00:00:00"/>
    <x v="0"/>
    <n v="15"/>
    <x v="1"/>
    <s v="Yes"/>
    <x v="0"/>
    <s v="Yes"/>
    <n v="20"/>
    <n v="3"/>
    <x v="3"/>
  </r>
  <r>
    <n v="3483"/>
    <x v="241"/>
    <x v="2"/>
    <d v="2024-11-04T00:00:00"/>
    <x v="1"/>
    <n v="10"/>
    <x v="0"/>
    <s v="No"/>
    <x v="1"/>
    <s v="Yes"/>
    <n v="20"/>
    <n v="10"/>
    <x v="2"/>
  </r>
  <r>
    <n v="3484"/>
    <x v="242"/>
    <x v="1"/>
    <d v="2024-11-05T00:00:00"/>
    <x v="0"/>
    <n v="5"/>
    <x v="2"/>
    <s v="No"/>
    <x v="1"/>
    <s v="No"/>
    <n v="0"/>
    <n v="0"/>
    <x v="1"/>
  </r>
  <r>
    <n v="3485"/>
    <x v="243"/>
    <x v="0"/>
    <d v="2024-11-06T00:00:00"/>
    <x v="1"/>
    <n v="15"/>
    <x v="0"/>
    <s v="Yes"/>
    <x v="0"/>
    <s v="Yes"/>
    <n v="20"/>
    <n v="15"/>
    <x v="14"/>
  </r>
  <r>
    <n v="3486"/>
    <x v="244"/>
    <x v="1"/>
    <d v="2024-11-07T00:00:00"/>
    <x v="0"/>
    <n v="5"/>
    <x v="0"/>
    <s v="No"/>
    <x v="1"/>
    <s v="No"/>
    <n v="0"/>
    <n v="0"/>
    <x v="1"/>
  </r>
  <r>
    <n v="3487"/>
    <x v="245"/>
    <x v="0"/>
    <d v="2024-11-08T00:00:00"/>
    <x v="1"/>
    <n v="15"/>
    <x v="2"/>
    <s v="Yes"/>
    <x v="0"/>
    <s v="Yes"/>
    <n v="20"/>
    <n v="7"/>
    <x v="12"/>
  </r>
  <r>
    <n v="3488"/>
    <x v="246"/>
    <x v="2"/>
    <d v="2024-11-09T00:00:00"/>
    <x v="0"/>
    <n v="10"/>
    <x v="1"/>
    <s v="No"/>
    <x v="1"/>
    <s v="Yes"/>
    <n v="20"/>
    <n v="10"/>
    <x v="2"/>
  </r>
  <r>
    <n v="3489"/>
    <x v="247"/>
    <x v="1"/>
    <d v="2024-11-10T00:00:00"/>
    <x v="1"/>
    <n v="5"/>
    <x v="2"/>
    <s v="No"/>
    <x v="1"/>
    <s v="No"/>
    <n v="0"/>
    <n v="1"/>
    <x v="4"/>
  </r>
  <r>
    <n v="3490"/>
    <x v="248"/>
    <x v="0"/>
    <d v="2024-11-11T00:00:00"/>
    <x v="0"/>
    <n v="15"/>
    <x v="0"/>
    <s v="Yes"/>
    <x v="0"/>
    <s v="Yes"/>
    <n v="20"/>
    <n v="15"/>
    <x v="14"/>
  </r>
  <r>
    <n v="3491"/>
    <x v="249"/>
    <x v="2"/>
    <d v="2024-11-12T00:00:00"/>
    <x v="1"/>
    <n v="10"/>
    <x v="0"/>
    <s v="No"/>
    <x v="1"/>
    <s v="Yes"/>
    <n v="20"/>
    <n v="5"/>
    <x v="13"/>
  </r>
  <r>
    <n v="3492"/>
    <x v="250"/>
    <x v="1"/>
    <d v="2024-11-13T00:00:00"/>
    <x v="0"/>
    <n v="5"/>
    <x v="1"/>
    <s v="No"/>
    <x v="1"/>
    <s v="No"/>
    <n v="0"/>
    <n v="0"/>
    <x v="1"/>
  </r>
  <r>
    <n v="3493"/>
    <x v="251"/>
    <x v="0"/>
    <d v="2024-11-14T00:00:00"/>
    <x v="1"/>
    <n v="15"/>
    <x v="2"/>
    <s v="Yes"/>
    <x v="0"/>
    <s v="Yes"/>
    <n v="20"/>
    <n v="20"/>
    <x v="8"/>
  </r>
  <r>
    <n v="3494"/>
    <x v="252"/>
    <x v="2"/>
    <d v="2024-11-15T00:00:00"/>
    <x v="0"/>
    <n v="10"/>
    <x v="2"/>
    <s v="No"/>
    <x v="1"/>
    <s v="Yes"/>
    <n v="20"/>
    <n v="12"/>
    <x v="10"/>
  </r>
  <r>
    <n v="3495"/>
    <x v="253"/>
    <x v="1"/>
    <d v="2024-11-16T00:00:00"/>
    <x v="1"/>
    <n v="5"/>
    <x v="0"/>
    <s v="No"/>
    <x v="1"/>
    <s v="No"/>
    <n v="0"/>
    <n v="2"/>
    <x v="11"/>
  </r>
  <r>
    <n v="3496"/>
    <x v="254"/>
    <x v="0"/>
    <d v="2024-11-17T00:00:00"/>
    <x v="0"/>
    <n v="15"/>
    <x v="1"/>
    <s v="Yes"/>
    <x v="0"/>
    <s v="Yes"/>
    <n v="20"/>
    <n v="5"/>
    <x v="0"/>
  </r>
  <r>
    <n v="3497"/>
    <x v="255"/>
    <x v="2"/>
    <d v="2024-11-18T00:00:00"/>
    <x v="1"/>
    <n v="10"/>
    <x v="0"/>
    <s v="No"/>
    <x v="1"/>
    <s v="Yes"/>
    <n v="20"/>
    <n v="10"/>
    <x v="2"/>
  </r>
  <r>
    <n v="3498"/>
    <x v="256"/>
    <x v="1"/>
    <d v="2024-11-19T00:00:00"/>
    <x v="0"/>
    <n v="5"/>
    <x v="2"/>
    <s v="No"/>
    <x v="1"/>
    <s v="No"/>
    <n v="0"/>
    <n v="0"/>
    <x v="1"/>
  </r>
  <r>
    <n v="3499"/>
    <x v="257"/>
    <x v="0"/>
    <d v="2024-11-20T00:00:00"/>
    <x v="1"/>
    <n v="15"/>
    <x v="0"/>
    <s v="Yes"/>
    <x v="0"/>
    <s v="Yes"/>
    <n v="20"/>
    <n v="3"/>
    <x v="3"/>
  </r>
  <r>
    <n v="3500"/>
    <x v="258"/>
    <x v="2"/>
    <d v="2024-11-21T00:00:00"/>
    <x v="0"/>
    <n v="10"/>
    <x v="1"/>
    <s v="No"/>
    <x v="1"/>
    <s v="Yes"/>
    <n v="20"/>
    <n v="15"/>
    <x v="7"/>
  </r>
  <r>
    <n v="3501"/>
    <x v="259"/>
    <x v="1"/>
    <d v="2024-11-22T00:00:00"/>
    <x v="1"/>
    <n v="5"/>
    <x v="0"/>
    <s v="No"/>
    <x v="1"/>
    <s v="No"/>
    <n v="0"/>
    <n v="1"/>
    <x v="4"/>
  </r>
  <r>
    <n v="3502"/>
    <x v="260"/>
    <x v="0"/>
    <d v="2024-11-23T00:00:00"/>
    <x v="0"/>
    <n v="15"/>
    <x v="2"/>
    <s v="Yes"/>
    <x v="0"/>
    <s v="Yes"/>
    <n v="20"/>
    <n v="7"/>
    <x v="12"/>
  </r>
  <r>
    <n v="3503"/>
    <x v="119"/>
    <x v="2"/>
    <d v="2024-11-24T00:00:00"/>
    <x v="1"/>
    <n v="10"/>
    <x v="0"/>
    <s v="No"/>
    <x v="1"/>
    <s v="Yes"/>
    <n v="20"/>
    <n v="10"/>
    <x v="2"/>
  </r>
  <r>
    <n v="3504"/>
    <x v="261"/>
    <x v="1"/>
    <d v="2024-11-25T00:00:00"/>
    <x v="0"/>
    <n v="5"/>
    <x v="1"/>
    <s v="No"/>
    <x v="1"/>
    <s v="No"/>
    <n v="0"/>
    <n v="0"/>
    <x v="1"/>
  </r>
  <r>
    <n v="3505"/>
    <x v="262"/>
    <x v="0"/>
    <d v="2024-11-26T00:00:00"/>
    <x v="1"/>
    <n v="15"/>
    <x v="0"/>
    <s v="Yes"/>
    <x v="0"/>
    <s v="Yes"/>
    <n v="20"/>
    <n v="20"/>
    <x v="8"/>
  </r>
  <r>
    <n v="3506"/>
    <x v="263"/>
    <x v="2"/>
    <d v="2024-11-27T00:00:00"/>
    <x v="0"/>
    <n v="10"/>
    <x v="2"/>
    <s v="No"/>
    <x v="1"/>
    <s v="Yes"/>
    <n v="20"/>
    <n v="15"/>
    <x v="7"/>
  </r>
  <r>
    <n v="3507"/>
    <x v="264"/>
    <x v="1"/>
    <d v="2024-11-28T00:00:00"/>
    <x v="1"/>
    <n v="5"/>
    <x v="0"/>
    <s v="No"/>
    <x v="1"/>
    <s v="No"/>
    <n v="0"/>
    <n v="1"/>
    <x v="4"/>
  </r>
  <r>
    <n v="3508"/>
    <x v="265"/>
    <x v="0"/>
    <d v="2024-11-29T00:00:00"/>
    <x v="0"/>
    <n v="15"/>
    <x v="1"/>
    <s v="Yes"/>
    <x v="0"/>
    <s v="Yes"/>
    <n v="20"/>
    <n v="3"/>
    <x v="3"/>
  </r>
  <r>
    <n v="3509"/>
    <x v="266"/>
    <x v="2"/>
    <d v="2024-11-30T00:00:00"/>
    <x v="1"/>
    <n v="10"/>
    <x v="0"/>
    <s v="No"/>
    <x v="1"/>
    <s v="Yes"/>
    <n v="20"/>
    <n v="10"/>
    <x v="2"/>
  </r>
  <r>
    <n v="3510"/>
    <x v="267"/>
    <x v="1"/>
    <d v="2024-12-01T00:00:00"/>
    <x v="0"/>
    <n v="5"/>
    <x v="2"/>
    <s v="No"/>
    <x v="1"/>
    <s v="No"/>
    <n v="0"/>
    <n v="0"/>
    <x v="1"/>
  </r>
  <r>
    <n v="3511"/>
    <x v="268"/>
    <x v="0"/>
    <d v="2024-12-02T00:00:00"/>
    <x v="1"/>
    <n v="15"/>
    <x v="0"/>
    <s v="Yes"/>
    <x v="0"/>
    <s v="Yes"/>
    <n v="20"/>
    <n v="15"/>
    <x v="14"/>
  </r>
  <r>
    <n v="3512"/>
    <x v="269"/>
    <x v="2"/>
    <d v="2024-12-03T00:00:00"/>
    <x v="0"/>
    <n v="10"/>
    <x v="1"/>
    <s v="No"/>
    <x v="1"/>
    <s v="Yes"/>
    <n v="20"/>
    <n v="15"/>
    <x v="7"/>
  </r>
  <r>
    <n v="3513"/>
    <x v="270"/>
    <x v="1"/>
    <d v="2024-12-04T00:00:00"/>
    <x v="1"/>
    <n v="5"/>
    <x v="0"/>
    <s v="No"/>
    <x v="1"/>
    <s v="No"/>
    <n v="0"/>
    <n v="1"/>
    <x v="4"/>
  </r>
  <r>
    <n v="3514"/>
    <x v="271"/>
    <x v="0"/>
    <d v="2024-12-05T00:00:00"/>
    <x v="0"/>
    <n v="15"/>
    <x v="2"/>
    <s v="Yes"/>
    <x v="0"/>
    <s v="Yes"/>
    <n v="20"/>
    <n v="7"/>
    <x v="12"/>
  </r>
  <r>
    <n v="3515"/>
    <x v="130"/>
    <x v="2"/>
    <d v="2024-12-06T00:00:00"/>
    <x v="1"/>
    <n v="10"/>
    <x v="0"/>
    <s v="No"/>
    <x v="1"/>
    <s v="Yes"/>
    <n v="20"/>
    <n v="10"/>
    <x v="2"/>
  </r>
  <r>
    <n v="3516"/>
    <x v="131"/>
    <x v="1"/>
    <d v="2024-12-07T00:00:00"/>
    <x v="0"/>
    <n v="5"/>
    <x v="1"/>
    <s v="No"/>
    <x v="1"/>
    <s v="No"/>
    <n v="0"/>
    <n v="0"/>
    <x v="1"/>
  </r>
  <r>
    <n v="3517"/>
    <x v="181"/>
    <x v="0"/>
    <d v="2024-12-08T00:00:00"/>
    <x v="1"/>
    <n v="15"/>
    <x v="0"/>
    <s v="Yes"/>
    <x v="0"/>
    <s v="Yes"/>
    <n v="20"/>
    <n v="20"/>
    <x v="8"/>
  </r>
  <r>
    <n v="3518"/>
    <x v="272"/>
    <x v="2"/>
    <d v="2024-12-09T00:00:00"/>
    <x v="0"/>
    <n v="10"/>
    <x v="2"/>
    <s v="No"/>
    <x v="1"/>
    <s v="Yes"/>
    <n v="20"/>
    <n v="12"/>
    <x v="10"/>
  </r>
  <r>
    <n v="3519"/>
    <x v="273"/>
    <x v="1"/>
    <d v="2024-12-10T00:00:00"/>
    <x v="1"/>
    <n v="5"/>
    <x v="0"/>
    <s v="No"/>
    <x v="1"/>
    <s v="No"/>
    <n v="0"/>
    <n v="2"/>
    <x v="11"/>
  </r>
  <r>
    <n v="3520"/>
    <x v="274"/>
    <x v="0"/>
    <d v="2024-12-11T00:00:00"/>
    <x v="0"/>
    <n v="15"/>
    <x v="1"/>
    <s v="Yes"/>
    <x v="0"/>
    <s v="Yes"/>
    <n v="20"/>
    <n v="5"/>
    <x v="0"/>
  </r>
  <r>
    <n v="3521"/>
    <x v="275"/>
    <x v="2"/>
    <d v="2024-12-12T00:00:00"/>
    <x v="1"/>
    <n v="10"/>
    <x v="0"/>
    <s v="No"/>
    <x v="1"/>
    <s v="Yes"/>
    <n v="20"/>
    <n v="10"/>
    <x v="2"/>
  </r>
  <r>
    <n v="3522"/>
    <x v="276"/>
    <x v="1"/>
    <d v="2024-12-13T00:00:00"/>
    <x v="0"/>
    <n v="5"/>
    <x v="2"/>
    <s v="No"/>
    <x v="1"/>
    <s v="No"/>
    <n v="0"/>
    <n v="0"/>
    <x v="1"/>
  </r>
  <r>
    <n v="3523"/>
    <x v="277"/>
    <x v="0"/>
    <d v="2024-12-14T00:00:00"/>
    <x v="1"/>
    <n v="15"/>
    <x v="0"/>
    <s v="Yes"/>
    <x v="0"/>
    <s v="Yes"/>
    <n v="20"/>
    <n v="3"/>
    <x v="3"/>
  </r>
  <r>
    <n v="3524"/>
    <x v="278"/>
    <x v="2"/>
    <d v="2024-12-15T00:00:00"/>
    <x v="0"/>
    <n v="10"/>
    <x v="1"/>
    <s v="No"/>
    <x v="1"/>
    <s v="Yes"/>
    <n v="20"/>
    <n v="15"/>
    <x v="7"/>
  </r>
  <r>
    <n v="3525"/>
    <x v="279"/>
    <x v="1"/>
    <d v="2024-12-16T00:00:00"/>
    <x v="1"/>
    <n v="5"/>
    <x v="0"/>
    <s v="No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3B58-C3B2-4CCF-A0E3-5F3D61ECD79D}" name="Tabela dinâmica1" cacheId="44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B40:C44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37A71-9CEB-46D6-84EE-2B746563D01C}" name="tbl_easeasonpass_total" cacheId="44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B29:C33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54318-2F23-45B5-84C1-89DCDD5FC1D1}" name="tbl_anual_total" cacheId="44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B11:C14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797F66C-2098-4A81-B008-D199D057A80A}" sourceName="Subscription Type">
  <pivotTables>
    <pivotTable tabId="3" name="tbl_easeasonpass_total"/>
    <pivotTable tabId="3" name="tbl_anual_total"/>
    <pivotTable tabId="3" name="Tabela dinâmica1"/>
  </pivotTables>
  <data>
    <tabular pivotCacheId="184335832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37BAA57-8EB9-4703-8079-E78A26C748CD}" cache="SegmentaçãodeDados_Subscription_Type" caption="Subscription Type" style="SlicerStyleLight3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F929023E-8E25-4DF7-AE9B-25BD44DDED56}" cache="SegmentaçãodeDados_Subscription_Type" caption="Subscription Typ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H43" sqref="H42:H43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/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I44"/>
  <sheetViews>
    <sheetView showGridLines="0" topLeftCell="A25" workbookViewId="0">
      <selection activeCell="C46" sqref="C46"/>
    </sheetView>
  </sheetViews>
  <sheetFormatPr defaultRowHeight="15"/>
  <cols>
    <col min="2" max="2" width="16" bestFit="1" customWidth="1"/>
    <col min="3" max="3" width="33.85546875" bestFit="1" customWidth="1"/>
    <col min="4" max="4" width="18.7109375" bestFit="1" customWidth="1"/>
    <col min="5" max="5" width="8.140625" customWidth="1"/>
    <col min="6" max="7" width="9.28515625" bestFit="1" customWidth="1"/>
    <col min="8" max="8" width="35.140625" customWidth="1"/>
    <col min="9" max="17" width="9.28515625" bestFit="1" customWidth="1"/>
    <col min="18" max="18" width="11.28515625" bestFit="1" customWidth="1"/>
  </cols>
  <sheetData>
    <row r="3" spans="2:9">
      <c r="B3" s="27" t="s">
        <v>313</v>
      </c>
      <c r="C3" s="27"/>
      <c r="D3" s="27"/>
      <c r="E3" s="27"/>
      <c r="F3" s="27"/>
    </row>
    <row r="6" spans="2:9">
      <c r="B6" s="26" t="s">
        <v>314</v>
      </c>
      <c r="C6" s="26"/>
      <c r="D6" s="26"/>
      <c r="E6" s="26"/>
      <c r="F6" s="26"/>
      <c r="G6" s="26"/>
      <c r="H6" s="26"/>
    </row>
    <row r="7" spans="2:9">
      <c r="B7" s="26" t="s">
        <v>315</v>
      </c>
      <c r="C7" s="26"/>
      <c r="D7" s="26"/>
      <c r="E7" s="26"/>
      <c r="F7" s="26"/>
      <c r="G7" s="26"/>
      <c r="H7" s="26"/>
      <c r="I7" s="26"/>
    </row>
    <row r="8" spans="2:9">
      <c r="B8" s="20"/>
      <c r="C8" s="20"/>
      <c r="D8" s="20"/>
      <c r="E8" s="20"/>
      <c r="F8" s="20"/>
      <c r="G8" s="20"/>
      <c r="H8" s="20"/>
      <c r="I8" s="20"/>
    </row>
    <row r="9" spans="2:9">
      <c r="B9" s="12" t="s">
        <v>17</v>
      </c>
      <c r="C9" t="s">
        <v>35</v>
      </c>
    </row>
    <row r="11" spans="2:9">
      <c r="B11" s="12" t="s">
        <v>15</v>
      </c>
      <c r="C11" t="s">
        <v>316</v>
      </c>
    </row>
    <row r="12" spans="2:9">
      <c r="B12" t="s">
        <v>30</v>
      </c>
      <c r="C12" s="13">
        <v>806</v>
      </c>
    </row>
    <row r="13" spans="2:9">
      <c r="B13" t="s">
        <v>26</v>
      </c>
      <c r="C13" s="13">
        <v>1502</v>
      </c>
    </row>
    <row r="14" spans="2:9">
      <c r="B14" t="s">
        <v>317</v>
      </c>
      <c r="C14" s="13">
        <v>2308</v>
      </c>
    </row>
    <row r="25" spans="2:3" ht="29.25">
      <c r="B25" s="21" t="s">
        <v>318</v>
      </c>
    </row>
    <row r="27" spans="2:3">
      <c r="B27" s="12" t="s">
        <v>17</v>
      </c>
      <c r="C27" t="s">
        <v>35</v>
      </c>
    </row>
    <row r="29" spans="2:3">
      <c r="B29" s="12" t="s">
        <v>13</v>
      </c>
      <c r="C29" t="s">
        <v>319</v>
      </c>
    </row>
    <row r="30" spans="2:3">
      <c r="B30" t="s">
        <v>29</v>
      </c>
      <c r="C30" s="19">
        <v>0</v>
      </c>
    </row>
    <row r="31" spans="2:3">
      <c r="B31" t="s">
        <v>34</v>
      </c>
      <c r="C31" s="19">
        <v>0</v>
      </c>
    </row>
    <row r="32" spans="2:3">
      <c r="B32" t="s">
        <v>25</v>
      </c>
      <c r="C32" s="19">
        <v>990</v>
      </c>
    </row>
    <row r="33" spans="2:3">
      <c r="B33" t="s">
        <v>317</v>
      </c>
      <c r="C33" s="19">
        <v>990</v>
      </c>
    </row>
    <row r="36" spans="2:3">
      <c r="B36" s="22" t="s">
        <v>320</v>
      </c>
    </row>
    <row r="38" spans="2:3">
      <c r="B38" s="12" t="s">
        <v>17</v>
      </c>
      <c r="C38" t="s">
        <v>35</v>
      </c>
    </row>
    <row r="40" spans="2:3">
      <c r="B40" s="12" t="s">
        <v>13</v>
      </c>
      <c r="C40" t="s">
        <v>321</v>
      </c>
    </row>
    <row r="41" spans="2:3">
      <c r="B41" t="s">
        <v>29</v>
      </c>
      <c r="C41" s="13">
        <v>0</v>
      </c>
    </row>
    <row r="42" spans="2:3">
      <c r="B42" t="s">
        <v>34</v>
      </c>
      <c r="C42" s="13">
        <v>480</v>
      </c>
    </row>
    <row r="43" spans="2:3">
      <c r="B43" t="s">
        <v>25</v>
      </c>
      <c r="C43" s="13">
        <v>660</v>
      </c>
    </row>
    <row r="44" spans="2:3">
      <c r="B44" t="s">
        <v>317</v>
      </c>
      <c r="C44" s="13">
        <v>1140</v>
      </c>
    </row>
  </sheetData>
  <mergeCells count="3">
    <mergeCell ref="B6:H6"/>
    <mergeCell ref="B7:I7"/>
    <mergeCell ref="B3:F3"/>
  </mergeCells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108"/>
  <sheetViews>
    <sheetView showGridLines="0" showRowColHeaders="0" tabSelected="1" topLeftCell="A5" zoomScale="80" zoomScaleNormal="80" workbookViewId="0">
      <selection activeCell="C4" sqref="C4"/>
    </sheetView>
  </sheetViews>
  <sheetFormatPr defaultRowHeight="15"/>
  <cols>
    <col min="1" max="1" width="27.28515625" style="4" customWidth="1"/>
    <col min="2" max="2" width="3.5703125" customWidth="1"/>
    <col min="3" max="3" width="7.28515625" customWidth="1"/>
    <col min="4" max="4" width="7.7109375" customWidth="1"/>
    <col min="6" max="6" width="9.5703125" customWidth="1"/>
    <col min="7" max="7" width="14.5703125" customWidth="1"/>
    <col min="12" max="12" width="6.5703125" customWidth="1"/>
  </cols>
  <sheetData>
    <row r="1" spans="1:22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22" ht="25.5" customHeight="1">
      <c r="B2" s="14"/>
      <c r="C2" s="29" t="s">
        <v>322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16"/>
      <c r="U2" s="16"/>
    </row>
    <row r="3" spans="1:22" ht="25.5" customHeight="1">
      <c r="B3" s="14"/>
      <c r="V3" s="24"/>
    </row>
    <row r="4" spans="1:22" s="7" customFormat="1" ht="8.25" customHeight="1">
      <c r="A4" s="4"/>
    </row>
    <row r="5" spans="1:22" s="7" customFormat="1" ht="12" customHeight="1">
      <c r="A5" s="4"/>
      <c r="C5" s="32" t="s">
        <v>323</v>
      </c>
      <c r="D5" s="32"/>
      <c r="E5" s="32"/>
      <c r="F5" s="32"/>
      <c r="G5" s="32"/>
      <c r="H5" s="32"/>
      <c r="I5" s="32"/>
      <c r="J5" s="32"/>
    </row>
    <row r="6" spans="1:22" s="7" customFormat="1" ht="13.5" customHeight="1">
      <c r="A6" s="25" t="s">
        <v>324</v>
      </c>
      <c r="C6" s="31"/>
    </row>
    <row r="7" spans="1:22" s="7" customFormat="1" ht="9.75" customHeight="1">
      <c r="A7" s="4"/>
    </row>
    <row r="8" spans="1:22" s="7" customFormat="1" ht="15.75" customHeight="1">
      <c r="A8" s="4"/>
      <c r="C8" s="17"/>
      <c r="D8" s="17"/>
      <c r="E8" s="17"/>
      <c r="F8" s="17"/>
      <c r="G8" s="17"/>
      <c r="H8" s="17"/>
      <c r="I8" s="17"/>
      <c r="J8" s="17"/>
      <c r="L8" s="17"/>
      <c r="M8" s="17"/>
      <c r="N8" s="17"/>
      <c r="O8" s="17"/>
      <c r="P8" s="17"/>
      <c r="Q8" s="17"/>
      <c r="R8" s="17"/>
      <c r="S8" s="17"/>
    </row>
    <row r="9" spans="1:22" s="7" customFormat="1">
      <c r="A9" s="4"/>
      <c r="C9" s="17"/>
      <c r="D9" s="17"/>
      <c r="E9" s="17"/>
      <c r="F9" s="17"/>
      <c r="G9" s="17"/>
      <c r="H9" s="17"/>
      <c r="I9" s="17"/>
      <c r="J9" s="17"/>
      <c r="L9" s="17"/>
      <c r="M9" s="17"/>
      <c r="N9" s="17"/>
      <c r="O9" s="17"/>
      <c r="P9" s="17"/>
      <c r="Q9" s="17"/>
      <c r="R9" s="17"/>
      <c r="S9" s="17"/>
    </row>
    <row r="10" spans="1:22" s="7" customFormat="1">
      <c r="A10" s="4"/>
      <c r="C10" s="17"/>
      <c r="D10" s="17"/>
      <c r="E10" s="17"/>
      <c r="F10" s="17"/>
      <c r="G10" s="17"/>
      <c r="H10" s="17"/>
      <c r="I10" s="17"/>
      <c r="J10" s="17"/>
      <c r="L10" s="17"/>
      <c r="M10" s="17"/>
      <c r="N10" s="17"/>
      <c r="O10" s="17"/>
      <c r="P10" s="17"/>
      <c r="Q10" s="17"/>
      <c r="R10" s="17"/>
      <c r="S10" s="17"/>
    </row>
    <row r="11" spans="1:22" s="7" customFormat="1">
      <c r="A11" s="4"/>
      <c r="C11" s="17"/>
      <c r="D11" s="17"/>
      <c r="E11" s="17"/>
      <c r="F11" s="17"/>
      <c r="G11" s="17"/>
      <c r="H11" s="17"/>
      <c r="I11" s="17"/>
      <c r="J11" s="17"/>
      <c r="L11" s="17"/>
      <c r="M11" s="17"/>
      <c r="N11" s="17"/>
      <c r="O11" s="17"/>
      <c r="P11" s="17"/>
      <c r="Q11" s="17"/>
      <c r="R11" s="17"/>
      <c r="S11" s="17"/>
    </row>
    <row r="12" spans="1:22" s="7" customFormat="1">
      <c r="A12" s="4"/>
      <c r="C12" s="17"/>
      <c r="D12" s="17"/>
      <c r="E12" s="17"/>
      <c r="F12" s="17"/>
      <c r="G12" s="17"/>
      <c r="H12" s="17"/>
      <c r="I12" s="17"/>
      <c r="J12" s="17"/>
      <c r="L12" s="17"/>
      <c r="M12" s="17"/>
      <c r="N12" s="17"/>
      <c r="O12" s="17"/>
      <c r="P12" s="17"/>
      <c r="Q12" s="17"/>
      <c r="R12" s="17"/>
      <c r="S12" s="17"/>
    </row>
    <row r="13" spans="1:22" s="7" customFormat="1" ht="15" customHeight="1">
      <c r="A13" s="4"/>
      <c r="C13" s="17"/>
      <c r="D13" s="17"/>
      <c r="E13" s="17"/>
      <c r="F13" s="23"/>
      <c r="G13" s="28">
        <f>C̳álculos!C33</f>
        <v>990</v>
      </c>
      <c r="H13" s="28"/>
      <c r="I13" s="17"/>
      <c r="J13" s="17"/>
      <c r="L13" s="17"/>
      <c r="M13" s="17"/>
      <c r="N13" s="17"/>
      <c r="O13" s="28">
        <f>C̳álculos!C44</f>
        <v>1140</v>
      </c>
      <c r="P13" s="28"/>
      <c r="Q13" s="28"/>
      <c r="R13" s="17"/>
      <c r="S13" s="17"/>
    </row>
    <row r="14" spans="1:22" s="7" customFormat="1" ht="15" customHeight="1">
      <c r="A14" s="4"/>
      <c r="C14" s="17"/>
      <c r="D14" s="17"/>
      <c r="E14" s="17"/>
      <c r="F14" s="23"/>
      <c r="G14" s="28"/>
      <c r="H14" s="28"/>
      <c r="I14" s="17"/>
      <c r="J14" s="17"/>
      <c r="L14" s="17"/>
      <c r="M14" s="17"/>
      <c r="N14" s="17"/>
      <c r="O14" s="28"/>
      <c r="P14" s="28"/>
      <c r="Q14" s="28"/>
      <c r="R14" s="17"/>
      <c r="S14" s="17"/>
    </row>
    <row r="15" spans="1:22" s="7" customFormat="1" ht="15" customHeight="1">
      <c r="A15" s="4"/>
      <c r="C15" s="17"/>
      <c r="D15" s="17"/>
      <c r="E15" s="17"/>
      <c r="F15" s="17"/>
      <c r="G15" s="28"/>
      <c r="H15" s="28"/>
      <c r="I15" s="17"/>
      <c r="J15" s="17"/>
      <c r="L15" s="17"/>
      <c r="M15" s="17"/>
      <c r="N15" s="17"/>
      <c r="O15" s="28"/>
      <c r="P15" s="28"/>
      <c r="Q15" s="28"/>
      <c r="R15" s="17"/>
      <c r="S15" s="17"/>
    </row>
    <row r="16" spans="1:22" s="7" customFormat="1">
      <c r="A16" s="4"/>
      <c r="C16" s="17"/>
      <c r="D16" s="17"/>
      <c r="E16" s="17"/>
      <c r="F16" s="17"/>
      <c r="G16" s="17"/>
      <c r="H16" s="17"/>
      <c r="I16" s="17"/>
      <c r="J16" s="17"/>
      <c r="L16" s="17"/>
      <c r="M16" s="17"/>
      <c r="N16" s="17"/>
      <c r="O16" s="17"/>
      <c r="P16" s="17"/>
      <c r="Q16" s="17"/>
      <c r="R16" s="17"/>
      <c r="S16" s="17"/>
    </row>
    <row r="17" spans="1:19" s="7" customFormat="1">
      <c r="A17" s="4"/>
      <c r="C17" s="17"/>
      <c r="D17" s="17"/>
      <c r="E17" s="17"/>
      <c r="F17" s="17"/>
      <c r="G17" s="17"/>
      <c r="H17" s="17"/>
      <c r="I17" s="17"/>
      <c r="J17" s="17"/>
      <c r="L17" s="17"/>
      <c r="M17" s="17"/>
      <c r="N17" s="17"/>
      <c r="O17" s="17"/>
      <c r="P17" s="17"/>
      <c r="Q17" s="17"/>
      <c r="R17" s="17"/>
      <c r="S17" s="17"/>
    </row>
    <row r="18" spans="1:19" s="7" customFormat="1">
      <c r="A18" s="4"/>
      <c r="C18" s="17"/>
      <c r="D18" s="17"/>
      <c r="E18" s="17"/>
      <c r="F18" s="17"/>
      <c r="G18" s="17"/>
      <c r="H18" s="17"/>
      <c r="I18" s="17"/>
      <c r="J18" s="17"/>
      <c r="L18" s="17"/>
      <c r="M18" s="17"/>
      <c r="N18" s="17"/>
      <c r="O18" s="17"/>
      <c r="P18" s="17"/>
      <c r="Q18" s="17"/>
      <c r="R18" s="17"/>
      <c r="S18" s="17"/>
    </row>
    <row r="19" spans="1:19" s="7" customFormat="1">
      <c r="A19" s="4"/>
      <c r="C19" s="17"/>
      <c r="D19" s="17"/>
      <c r="E19" s="17"/>
      <c r="F19" s="17"/>
      <c r="G19" s="17"/>
      <c r="H19" s="17"/>
      <c r="I19" s="17"/>
      <c r="J19" s="17"/>
      <c r="L19" s="17"/>
      <c r="M19" s="17"/>
      <c r="N19" s="17"/>
      <c r="O19" s="17"/>
      <c r="P19" s="17"/>
      <c r="Q19" s="17"/>
      <c r="R19" s="17"/>
      <c r="S19" s="17"/>
    </row>
    <row r="20" spans="1:19" s="7" customFormat="1">
      <c r="A20" s="4"/>
    </row>
    <row r="21" spans="1:19" s="7" customFormat="1">
      <c r="A21" s="4"/>
    </row>
    <row r="22" spans="1:19" s="7" customFormat="1">
      <c r="A22" s="4"/>
    </row>
    <row r="23" spans="1:19" s="7" customFormat="1">
      <c r="A23" s="4"/>
    </row>
    <row r="24" spans="1:19" s="7" customFormat="1">
      <c r="A24" s="4"/>
    </row>
    <row r="25" spans="1:19" s="7" customFormat="1">
      <c r="A25" s="4"/>
    </row>
    <row r="26" spans="1:19" s="7" customFormat="1">
      <c r="A26" s="4"/>
    </row>
    <row r="27" spans="1:19" s="7" customFormat="1">
      <c r="A27" s="4"/>
    </row>
    <row r="28" spans="1:19" s="7" customFormat="1">
      <c r="A28" s="4"/>
    </row>
    <row r="29" spans="1:19" s="7" customFormat="1">
      <c r="A29" s="4"/>
    </row>
    <row r="30" spans="1:19" s="7" customFormat="1">
      <c r="A30" s="4"/>
    </row>
    <row r="31" spans="1:19" s="7" customFormat="1">
      <c r="A31" s="4"/>
    </row>
    <row r="32" spans="1:19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101" spans="2:5">
      <c r="B101" s="18"/>
      <c r="C101" s="18"/>
      <c r="D101" s="18"/>
      <c r="E101" s="18"/>
    </row>
    <row r="102" spans="2:5">
      <c r="B102" s="18"/>
      <c r="C102" s="18"/>
      <c r="D102" s="18"/>
      <c r="E102" s="18"/>
    </row>
    <row r="103" spans="2:5">
      <c r="B103" s="18"/>
      <c r="C103" s="18"/>
      <c r="D103" s="18"/>
      <c r="E103" s="18"/>
    </row>
    <row r="104" spans="2:5">
      <c r="B104" s="18"/>
      <c r="E104" s="18"/>
    </row>
    <row r="105" spans="2:5">
      <c r="B105" s="18"/>
      <c r="E105" s="18"/>
    </row>
    <row r="106" spans="2:5">
      <c r="B106" s="18"/>
      <c r="E106" s="18"/>
    </row>
    <row r="107" spans="2:5">
      <c r="B107" s="18"/>
      <c r="E107" s="18"/>
    </row>
    <row r="108" spans="2:5">
      <c r="B108" s="18"/>
      <c r="C108" s="18"/>
      <c r="D108" s="18"/>
      <c r="E108" s="18"/>
    </row>
  </sheetData>
  <mergeCells count="4">
    <mergeCell ref="G13:H15"/>
    <mergeCell ref="O13:Q15"/>
    <mergeCell ref="C2:S2"/>
    <mergeCell ref="C5:J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Israel Tavares</cp:lastModifiedBy>
  <cp:revision/>
  <dcterms:created xsi:type="dcterms:W3CDTF">2024-12-19T13:13:10Z</dcterms:created>
  <dcterms:modified xsi:type="dcterms:W3CDTF">2026-03-24T22:45:59Z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